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publications\2021 O16 paper\20250216 PLoS Biology\"/>
    </mc:Choice>
  </mc:AlternateContent>
  <xr:revisionPtr revIDLastSave="0" documentId="13_ncr:1_{66B6F939-FC4F-4C2F-9F26-505CE5647F7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list of all phages" sheetId="1" r:id="rId1"/>
    <sheet name="AntiDefenseFind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6" i="1" l="1"/>
  <c r="F75" i="1"/>
  <c r="F74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112" i="1" l="1"/>
  <c r="F92" i="1"/>
  <c r="F97" i="1"/>
  <c r="F93" i="1"/>
  <c r="F101" i="1"/>
  <c r="F100" i="1"/>
  <c r="F96" i="1"/>
  <c r="F95" i="1"/>
  <c r="F99" i="1"/>
  <c r="F94" i="1"/>
  <c r="F98" i="1"/>
  <c r="F102" i="1"/>
  <c r="F103" i="1"/>
  <c r="F104" i="1"/>
  <c r="F105" i="1"/>
  <c r="F106" i="1"/>
  <c r="F107" i="1"/>
  <c r="F108" i="1"/>
  <c r="F109" i="1"/>
  <c r="F110" i="1"/>
  <c r="F111" i="1"/>
  <c r="F113" i="1"/>
</calcChain>
</file>

<file path=xl/sharedStrings.xml><?xml version="1.0" encoding="utf-8"?>
<sst xmlns="http://schemas.openxmlformats.org/spreadsheetml/2006/main" count="3152" uniqueCount="1096">
  <si>
    <t>morphotype</t>
  </si>
  <si>
    <t>siphovirus</t>
  </si>
  <si>
    <t>genome size (bp)</t>
  </si>
  <si>
    <t>CDS</t>
  </si>
  <si>
    <t>tRNAs</t>
  </si>
  <si>
    <t>GC content</t>
  </si>
  <si>
    <t>% ANI (coverage x NI)</t>
  </si>
  <si>
    <t>coverage</t>
  </si>
  <si>
    <t>identity</t>
  </si>
  <si>
    <t>ICTV genus</t>
  </si>
  <si>
    <t>ICTV species</t>
  </si>
  <si>
    <t>isolation source</t>
  </si>
  <si>
    <t>Switzerland: Basel</t>
  </si>
  <si>
    <t>sewage plant inflow</t>
  </si>
  <si>
    <t>EcoKI</t>
  </si>
  <si>
    <t>EcoCFT_I</t>
  </si>
  <si>
    <t>EcoRI</t>
  </si>
  <si>
    <t>EcoRV</t>
  </si>
  <si>
    <t>EcoCFT_II</t>
  </si>
  <si>
    <t>EcoP1_I</t>
  </si>
  <si>
    <t>Bas##</t>
  </si>
  <si>
    <t>introns</t>
  </si>
  <si>
    <t>inteins</t>
  </si>
  <si>
    <t>bacteriophage taxonomy</t>
  </si>
  <si>
    <t>bacteriophage isolation / source</t>
  </si>
  <si>
    <t>bacteriophage genome features</t>
  </si>
  <si>
    <t>RM system recognition sites</t>
  </si>
  <si>
    <t>primary receptor</t>
  </si>
  <si>
    <t>terminal receptor</t>
  </si>
  <si>
    <t>closest relative (BLASTN total score)</t>
  </si>
  <si>
    <t>NCBI GenBank accession</t>
  </si>
  <si>
    <t>Bas70</t>
  </si>
  <si>
    <t>Bas71</t>
  </si>
  <si>
    <t>Bas72</t>
  </si>
  <si>
    <t>Bas73</t>
  </si>
  <si>
    <t>Bas74</t>
  </si>
  <si>
    <t>Bas75</t>
  </si>
  <si>
    <t>Bas76</t>
  </si>
  <si>
    <t>Bas77</t>
  </si>
  <si>
    <t>Bas78</t>
  </si>
  <si>
    <t>Bas79</t>
  </si>
  <si>
    <t>Bas80</t>
  </si>
  <si>
    <t>Bas81</t>
  </si>
  <si>
    <t>Bas82</t>
  </si>
  <si>
    <t>Bas83</t>
  </si>
  <si>
    <t>Bas84</t>
  </si>
  <si>
    <t>Bas85</t>
  </si>
  <si>
    <t>Bas86</t>
  </si>
  <si>
    <t>Bas87</t>
  </si>
  <si>
    <t>Bas88</t>
  </si>
  <si>
    <t>Bas89</t>
  </si>
  <si>
    <t>Bas90</t>
  </si>
  <si>
    <t>Bas91</t>
  </si>
  <si>
    <t>Bas92</t>
  </si>
  <si>
    <t>Bas93</t>
  </si>
  <si>
    <t>Bas94</t>
  </si>
  <si>
    <t>Bas95</t>
  </si>
  <si>
    <t>Bas96</t>
  </si>
  <si>
    <t>Bas97</t>
  </si>
  <si>
    <t>Bas98</t>
  </si>
  <si>
    <t>Bas99</t>
  </si>
  <si>
    <t>Bas100</t>
  </si>
  <si>
    <t>Bas101</t>
  </si>
  <si>
    <t>Bas102</t>
  </si>
  <si>
    <t>Bas103</t>
  </si>
  <si>
    <t>Bas104</t>
  </si>
  <si>
    <t>Bas105</t>
  </si>
  <si>
    <t>place of isolation</t>
  </si>
  <si>
    <t>Escherichia phage 590B</t>
  </si>
  <si>
    <t>Escherichia phage NTEC3</t>
  </si>
  <si>
    <t>Escherichia phage 6947</t>
  </si>
  <si>
    <t>Escherichia phage ASO78B</t>
  </si>
  <si>
    <t>Salmonella phage ST1</t>
  </si>
  <si>
    <t>Escherichia phage AVIO78A</t>
  </si>
  <si>
    <t>Escherichia phage WFI</t>
  </si>
  <si>
    <t>Escherichia phage slur06</t>
  </si>
  <si>
    <t>Escherichia phage MN03</t>
  </si>
  <si>
    <t>Escherichia phage SU7</t>
  </si>
  <si>
    <t>Escherichia phage LAMP</t>
  </si>
  <si>
    <t>Escherichia phage EP335</t>
  </si>
  <si>
    <t>Escherichia ECBP2</t>
  </si>
  <si>
    <t>Escherichia phage MLP3</t>
  </si>
  <si>
    <t>Escherichia phage CHD5UKE1</t>
  </si>
  <si>
    <t>Escherichia phage Pondi</t>
  </si>
  <si>
    <t>Escherichia phage E20</t>
  </si>
  <si>
    <t>Salmonella phage PT1</t>
  </si>
  <si>
    <t>Escherichia phage WFC</t>
  </si>
  <si>
    <t>Escherichia phage SP13</t>
  </si>
  <si>
    <t>Cedecea phage Yanou</t>
  </si>
  <si>
    <t>Escherichia phage JeanTinguely (Bas64)</t>
  </si>
  <si>
    <t>Escherichia phage EcoDS1</t>
  </si>
  <si>
    <t>Birsig river</t>
  </si>
  <si>
    <t>Alexander Harms</t>
  </si>
  <si>
    <t>Alexander Harms and Enea Maffei</t>
  </si>
  <si>
    <t>Luc Willi and Enea Maffei</t>
  </si>
  <si>
    <t>Rhine water</t>
  </si>
  <si>
    <t>Switzerland: Lenzerheide</t>
  </si>
  <si>
    <t>city pond</t>
  </si>
  <si>
    <t>Alexander Harms and Aisylu Shaidullina</t>
  </si>
  <si>
    <t>Peter Banhazi (Summer Science Academy 2022)</t>
  </si>
  <si>
    <t>Dylan Mac Sweeney (Summer Science Academy 2022)</t>
  </si>
  <si>
    <t>Jana Bockelmann (Summer Science Academy 2022)</t>
  </si>
  <si>
    <t>Bogdan Baeasu (Summer Science Academy 2022)</t>
  </si>
  <si>
    <t>Elena Buettner (Summer Science Academy 2022)</t>
  </si>
  <si>
    <t>bird pond</t>
  </si>
  <si>
    <t>Giulia Ernst (Summer Science Academy 2022)</t>
  </si>
  <si>
    <t>Elisa Pfrunder (Summer Science Academy 2022)</t>
  </si>
  <si>
    <t>small stream (Wiese)</t>
  </si>
  <si>
    <t>Yasmina Stolber (Summer Science Academy 2022)</t>
  </si>
  <si>
    <t>Naisha Govindan (Summer Science Academy 2022)</t>
  </si>
  <si>
    <t>296x</t>
  </si>
  <si>
    <t>346x</t>
  </si>
  <si>
    <t>393x</t>
  </si>
  <si>
    <t>354x</t>
  </si>
  <si>
    <t>62x</t>
  </si>
  <si>
    <t>155x</t>
  </si>
  <si>
    <t>204x</t>
  </si>
  <si>
    <t>182x</t>
  </si>
  <si>
    <t>310x</t>
  </si>
  <si>
    <t>342x</t>
  </si>
  <si>
    <t>331x</t>
  </si>
  <si>
    <t>281x</t>
  </si>
  <si>
    <t>332x</t>
  </si>
  <si>
    <t>276x</t>
  </si>
  <si>
    <t>624x</t>
  </si>
  <si>
    <t>235x</t>
  </si>
  <si>
    <t>114x</t>
  </si>
  <si>
    <t>188x</t>
  </si>
  <si>
    <t>197x</t>
  </si>
  <si>
    <t>201x</t>
  </si>
  <si>
    <t>187x</t>
  </si>
  <si>
    <t>177x</t>
  </si>
  <si>
    <t>206x</t>
  </si>
  <si>
    <t>124x</t>
  </si>
  <si>
    <t>128x</t>
  </si>
  <si>
    <t>258x</t>
  </si>
  <si>
    <t>544x</t>
  </si>
  <si>
    <t>179x</t>
  </si>
  <si>
    <t>100x</t>
  </si>
  <si>
    <t>139x</t>
  </si>
  <si>
    <t>443x</t>
  </si>
  <si>
    <t>413x</t>
  </si>
  <si>
    <t>420x</t>
  </si>
  <si>
    <t>283x</t>
  </si>
  <si>
    <t>Switzerland: Triengen</t>
  </si>
  <si>
    <t>unclassified</t>
  </si>
  <si>
    <r>
      <t xml:space="preserve">Kuravirus </t>
    </r>
    <r>
      <rPr>
        <sz val="11"/>
        <color theme="1"/>
        <rFont val="Calibri"/>
        <family val="2"/>
        <scheme val="minor"/>
      </rPr>
      <t>SU10</t>
    </r>
  </si>
  <si>
    <t>Kagunavirus</t>
  </si>
  <si>
    <t>ICTV subfamily</t>
  </si>
  <si>
    <t>Guernseyvirinae</t>
  </si>
  <si>
    <t>Dhillonvirus</t>
  </si>
  <si>
    <t>Kuravirus</t>
  </si>
  <si>
    <t>ICTV family</t>
  </si>
  <si>
    <t>Schitoviridae</t>
  </si>
  <si>
    <t>Enquatrovirinae</t>
  </si>
  <si>
    <t>Gamaleyavirus</t>
  </si>
  <si>
    <t>Jilinvirus</t>
  </si>
  <si>
    <t>myovirus</t>
  </si>
  <si>
    <t>podovirus</t>
  </si>
  <si>
    <t>Wifcevirus</t>
  </si>
  <si>
    <t>Autographiviridae</t>
  </si>
  <si>
    <t>Studiervirinae</t>
  </si>
  <si>
    <t>Teseptimavirus</t>
  </si>
  <si>
    <t>Kayfunavirus</t>
  </si>
  <si>
    <t>Gordonclarkvirinae</t>
  </si>
  <si>
    <t>Suseptimavirus</t>
  </si>
  <si>
    <t>Nieuwekanaalvirus</t>
  </si>
  <si>
    <t>Iiscvirinae</t>
  </si>
  <si>
    <t>isolated by</t>
  </si>
  <si>
    <t>Escherichia phage MarieHeimVoegtlin</t>
  </si>
  <si>
    <t>Escherichia phage LotteLoewe</t>
  </si>
  <si>
    <t>Escherichia phage NicoleGrasset</t>
  </si>
  <si>
    <t>Escherichia phage GertrudWoker</t>
  </si>
  <si>
    <t>Escherichia phage SonjaBuckley</t>
  </si>
  <si>
    <t>Escherichia phage AnnaReinhart</t>
  </si>
  <si>
    <t>Escherichia phage VerenaMeyer</t>
  </si>
  <si>
    <t>Escherichia phage ClaudiaMuster</t>
  </si>
  <si>
    <t>Escherichia phage SandraMuster</t>
  </si>
  <si>
    <t>Escherichia phage SusanneMuster</t>
  </si>
  <si>
    <t>Escherichia phage ChristineMuster</t>
  </si>
  <si>
    <t>Escherichia phage TanjaMuster</t>
  </si>
  <si>
    <t>Escherichia phage KarinMuster</t>
  </si>
  <si>
    <t>Escherichia phage Haito</t>
  </si>
  <si>
    <t>Escherichia phage JohannBuxtorf</t>
  </si>
  <si>
    <t>Escherichia phage RuthEpting</t>
  </si>
  <si>
    <t>Escherichia phage OliverMaurmann</t>
  </si>
  <si>
    <t>Escherichia phage AnnaHegner</t>
  </si>
  <si>
    <t>Escherichia phage StefiGeyer</t>
  </si>
  <si>
    <t>Escherichia phage KarlSchell</t>
  </si>
  <si>
    <t>Escherichia phage SkaterBoy</t>
  </si>
  <si>
    <t>Escherichia phage LorandFenyves</t>
  </si>
  <si>
    <t>Escherichia phage JacquesWildberger</t>
  </si>
  <si>
    <t>Escherichia phage AidaStucki</t>
  </si>
  <si>
    <t>Escherichia phage ManiMatter</t>
  </si>
  <si>
    <t>Escherichia phage HelliStehle</t>
  </si>
  <si>
    <t>Escherichia phage RudolfBernhard</t>
  </si>
  <si>
    <t>Escherichia phage HeidiAbel</t>
  </si>
  <si>
    <t>Escherichia phage ManiWeber</t>
  </si>
  <si>
    <t>Escherichia phage HansTraber</t>
  </si>
  <si>
    <t>Escherichia phage VerenaGrendelmeier</t>
  </si>
  <si>
    <t>Escherichia phage MeretOppenheim</t>
  </si>
  <si>
    <t>Escherichia phage EmilieLinder</t>
  </si>
  <si>
    <t>Escherichia phage AnnaIndermaur</t>
  </si>
  <si>
    <t>Escherichia phage ElsieAttenhofer</t>
  </si>
  <si>
    <t>phage name</t>
  </si>
  <si>
    <r>
      <t xml:space="preserve">host receptors on </t>
    </r>
    <r>
      <rPr>
        <b/>
        <i/>
        <sz val="16"/>
        <color theme="1"/>
        <rFont val="Calibri"/>
        <family val="2"/>
        <scheme val="minor"/>
      </rPr>
      <t xml:space="preserve">E. coli </t>
    </r>
    <r>
      <rPr>
        <b/>
        <sz val="16"/>
        <color theme="1"/>
        <rFont val="Calibri"/>
        <family val="2"/>
        <scheme val="minor"/>
      </rPr>
      <t>K-12</t>
    </r>
  </si>
  <si>
    <t>O16-type O-antigen</t>
  </si>
  <si>
    <t>LptD</t>
  </si>
  <si>
    <t>Bas07</t>
  </si>
  <si>
    <t>PGN590 (NC_049830.1)</t>
  </si>
  <si>
    <t>Hanrivervirus</t>
  </si>
  <si>
    <t>Nathalie Galvagno (Summer Science Academy 2019)</t>
  </si>
  <si>
    <t>MZ501079</t>
  </si>
  <si>
    <t>136x</t>
  </si>
  <si>
    <t>FhuA</t>
  </si>
  <si>
    <t>n.a.</t>
  </si>
  <si>
    <t>Bas32</t>
  </si>
  <si>
    <t>saus111K (MF431734.1)</t>
  </si>
  <si>
    <t>Tequintavirus</t>
  </si>
  <si>
    <t>Enea Maffei</t>
  </si>
  <si>
    <t>MZ501075</t>
  </si>
  <si>
    <t>78x</t>
  </si>
  <si>
    <t>BtuB</t>
  </si>
  <si>
    <t>Bas60</t>
  </si>
  <si>
    <t>alia (MN850632.1)</t>
  </si>
  <si>
    <t>Switzerland: Riehen</t>
  </si>
  <si>
    <t>rotting plant waste</t>
  </si>
  <si>
    <t>MZ501100</t>
  </si>
  <si>
    <t>107x</t>
  </si>
  <si>
    <t>first Glc of LPS outer core</t>
  </si>
  <si>
    <t>Bas61</t>
  </si>
  <si>
    <t>outra (MN850645.1)</t>
  </si>
  <si>
    <t>Switzerland: Reinach</t>
  </si>
  <si>
    <t>Birs river</t>
  </si>
  <si>
    <t>Yannik Heyer</t>
  </si>
  <si>
    <t>MZ501063</t>
  </si>
  <si>
    <t>90x</t>
  </si>
  <si>
    <t>Bas62</t>
  </si>
  <si>
    <t>Rhine river</t>
  </si>
  <si>
    <t>MZ501084</t>
  </si>
  <si>
    <t>111x</t>
  </si>
  <si>
    <t>Bas63</t>
  </si>
  <si>
    <t>LMP33 (MK482689.1)</t>
  </si>
  <si>
    <t>Felixounavirus</t>
  </si>
  <si>
    <t>MZ501086</t>
  </si>
  <si>
    <t>119x</t>
  </si>
  <si>
    <t>Bas69</t>
  </si>
  <si>
    <t>PMBT57 (MG770228.1)</t>
  </si>
  <si>
    <t>Enquatrovirus</t>
  </si>
  <si>
    <t>unclassified (with PMBT57)</t>
  </si>
  <si>
    <t>Valentin Druelle</t>
  </si>
  <si>
    <t>MZ501049</t>
  </si>
  <si>
    <t>217x</t>
  </si>
  <si>
    <r>
      <t xml:space="preserve">Escherichia </t>
    </r>
    <r>
      <rPr>
        <sz val="11"/>
        <color theme="1"/>
        <rFont val="Calibri"/>
        <family val="2"/>
        <scheme val="minor"/>
      </rPr>
      <t>virus N4</t>
    </r>
  </si>
  <si>
    <t>obtained as a contaminant from the Felix d'Herelle Center</t>
  </si>
  <si>
    <t>NC_008720.1</t>
  </si>
  <si>
    <t>n.d.</t>
  </si>
  <si>
    <t>Tempevirinae</t>
  </si>
  <si>
    <t>Markadamsvirinae</t>
  </si>
  <si>
    <t>Ounavirinae</t>
  </si>
  <si>
    <t>Justusliebigvirus</t>
  </si>
  <si>
    <t>Stephanstirmvirinae</t>
  </si>
  <si>
    <r>
      <t xml:space="preserve">Escherichia </t>
    </r>
    <r>
      <rPr>
        <sz val="11"/>
        <color theme="1"/>
        <rFont val="Calibri"/>
        <family val="2"/>
        <scheme val="minor"/>
      </rPr>
      <t>phage JakobBernoulli</t>
    </r>
  </si>
  <si>
    <r>
      <t xml:space="preserve">Escherichia </t>
    </r>
    <r>
      <rPr>
        <sz val="11"/>
        <color theme="1"/>
        <rFont val="Calibri"/>
        <family val="2"/>
        <scheme val="minor"/>
      </rPr>
      <t>phage JohannRWettstein</t>
    </r>
  </si>
  <si>
    <r>
      <t xml:space="preserve">Escherichia </t>
    </r>
    <r>
      <rPr>
        <sz val="11"/>
        <color theme="1"/>
        <rFont val="Calibri"/>
        <family val="2"/>
        <scheme val="minor"/>
      </rPr>
      <t>phage N4 (reference)</t>
    </r>
  </si>
  <si>
    <t>NGR</t>
  </si>
  <si>
    <t>unknown</t>
  </si>
  <si>
    <t>Drexlerviridae</t>
  </si>
  <si>
    <t>Demerecviridae</t>
  </si>
  <si>
    <t>Escherichia phage HermannAdler</t>
  </si>
  <si>
    <t>Skatevirus</t>
  </si>
  <si>
    <t>Nonanavirus</t>
  </si>
  <si>
    <t>Bas106</t>
  </si>
  <si>
    <t>Lederbergvirus</t>
  </si>
  <si>
    <t>Escherichia phage IME10</t>
  </si>
  <si>
    <t>421x</t>
  </si>
  <si>
    <t>Patrick Imwinkelried and Alexander Harms</t>
  </si>
  <si>
    <t>Bas01</t>
  </si>
  <si>
    <t>RTP (AM156909.1)</t>
  </si>
  <si>
    <t>Rtpvirus</t>
  </si>
  <si>
    <r>
      <t xml:space="preserve">Escherichia </t>
    </r>
    <r>
      <rPr>
        <sz val="11"/>
        <color theme="1"/>
        <rFont val="Calibri"/>
        <family val="2"/>
        <scheme val="minor"/>
      </rPr>
      <t>phage AugustePiccard</t>
    </r>
  </si>
  <si>
    <t>horse feces</t>
  </si>
  <si>
    <t>MZ501051</t>
  </si>
  <si>
    <t>230x</t>
  </si>
  <si>
    <t>LPS / O-antigen?</t>
  </si>
  <si>
    <t>Bas02</t>
  </si>
  <si>
    <t>CEB_EC3a (NC_047812.1)</t>
  </si>
  <si>
    <t>Guelphvirus</t>
  </si>
  <si>
    <r>
      <t xml:space="preserve">Escherichia </t>
    </r>
    <r>
      <rPr>
        <sz val="11"/>
        <color theme="1"/>
        <rFont val="Calibri"/>
        <family val="2"/>
        <scheme val="minor"/>
      </rPr>
      <t>phage JeanPiccard</t>
    </r>
  </si>
  <si>
    <t>forest puddle</t>
  </si>
  <si>
    <t>MZ501080</t>
  </si>
  <si>
    <t>174x</t>
  </si>
  <si>
    <t>Bas03</t>
  </si>
  <si>
    <r>
      <t xml:space="preserve">Escherichia </t>
    </r>
    <r>
      <rPr>
        <sz val="11"/>
        <color theme="1"/>
        <rFont val="Calibri"/>
        <family val="2"/>
        <scheme val="minor"/>
      </rPr>
      <t>phage JulesPiccard</t>
    </r>
  </si>
  <si>
    <t>Stefanie Schluchter (Summer Science Academy 2019)</t>
  </si>
  <si>
    <t>MZ501087</t>
  </si>
  <si>
    <t>Bas04</t>
  </si>
  <si>
    <t>tonnikala (NC_049817.1)</t>
  </si>
  <si>
    <t>Warwickvirus</t>
  </si>
  <si>
    <t>unclassified (with tonnikala)</t>
  </si>
  <si>
    <r>
      <t xml:space="preserve">Escherichia </t>
    </r>
    <r>
      <rPr>
        <sz val="11"/>
        <color theme="1"/>
        <rFont val="Calibri"/>
        <family val="2"/>
        <scheme val="minor"/>
      </rPr>
      <t>phage FritzSarasin</t>
    </r>
  </si>
  <si>
    <t>Harshal Kumar (Summer Science Academy 2019)</t>
  </si>
  <si>
    <t>MZ501069</t>
  </si>
  <si>
    <t>48x</t>
  </si>
  <si>
    <t>Bas05</t>
  </si>
  <si>
    <t>XY3 (MN781674.1)</t>
  </si>
  <si>
    <r>
      <t xml:space="preserve">Escherichia </t>
    </r>
    <r>
      <rPr>
        <sz val="11"/>
        <color theme="1"/>
        <rFont val="Calibri"/>
        <family val="2"/>
        <scheme val="minor"/>
      </rPr>
      <t>phage PeterMerian</t>
    </r>
  </si>
  <si>
    <t>Henrietta Caspar (Summer Science Academy 2019)</t>
  </si>
  <si>
    <t>MZ501101</t>
  </si>
  <si>
    <t>15x</t>
  </si>
  <si>
    <t>Bas06</t>
  </si>
  <si>
    <t>herni (NC_049823.1)</t>
  </si>
  <si>
    <r>
      <t xml:space="preserve">Escherichia </t>
    </r>
    <r>
      <rPr>
        <sz val="11"/>
        <color theme="1"/>
        <rFont val="Calibri"/>
        <family val="2"/>
        <scheme val="minor"/>
      </rPr>
      <t>phage KarlJaspers</t>
    </r>
  </si>
  <si>
    <t>Olivier Gomez-Dumas (Summer Science Academy 2019)</t>
  </si>
  <si>
    <t>MZ501090</t>
  </si>
  <si>
    <t>Bas08</t>
  </si>
  <si>
    <t>TLS (AY308796.1)</t>
  </si>
  <si>
    <t>Tlsvirus</t>
  </si>
  <si>
    <r>
      <t xml:space="preserve">Escherichia </t>
    </r>
    <r>
      <rPr>
        <sz val="11"/>
        <color theme="1"/>
        <rFont val="Calibri"/>
        <family val="2"/>
        <scheme val="minor"/>
      </rPr>
      <t>phage DanielBernoulli</t>
    </r>
  </si>
  <si>
    <t>MZ501059</t>
  </si>
  <si>
    <t>TolC</t>
  </si>
  <si>
    <t>Bas09</t>
  </si>
  <si>
    <t>W011D (MK778457.1)</t>
  </si>
  <si>
    <t>Changchunvirus</t>
  </si>
  <si>
    <r>
      <t xml:space="preserve">Escherichia </t>
    </r>
    <r>
      <rPr>
        <sz val="11"/>
        <color theme="1"/>
        <rFont val="Calibri"/>
        <family val="2"/>
        <scheme val="minor"/>
      </rPr>
      <t>phage PaulSarasin</t>
    </r>
  </si>
  <si>
    <t>Edith Baert (Summer Science Academy 2019)</t>
  </si>
  <si>
    <t>MZ501099</t>
  </si>
  <si>
    <t>104x</t>
  </si>
  <si>
    <t>Bas10</t>
  </si>
  <si>
    <t>Henu7 (MN019128.1)</t>
  </si>
  <si>
    <r>
      <t xml:space="preserve">Escherichia </t>
    </r>
    <r>
      <rPr>
        <sz val="11"/>
        <color theme="1"/>
        <rFont val="Calibri"/>
        <family val="2"/>
        <scheme val="minor"/>
      </rPr>
      <t>phage IsaakIselin</t>
    </r>
  </si>
  <si>
    <t>Aurele Lesslauer (Summer Science Academy 2019)</t>
  </si>
  <si>
    <t>MZ501077</t>
  </si>
  <si>
    <t>266x</t>
  </si>
  <si>
    <t>YncD</t>
  </si>
  <si>
    <t>Bas11</t>
  </si>
  <si>
    <r>
      <t xml:space="preserve">Escherichia </t>
    </r>
    <r>
      <rPr>
        <sz val="11"/>
        <color theme="1"/>
        <rFont val="Calibri"/>
        <family val="2"/>
        <scheme val="minor"/>
      </rPr>
      <t>phage JohannLBurckhardt</t>
    </r>
  </si>
  <si>
    <t>compost</t>
  </si>
  <si>
    <t>Marco Burkolter</t>
  </si>
  <si>
    <t>MZ501085</t>
  </si>
  <si>
    <t>233x</t>
  </si>
  <si>
    <t>Bas12</t>
  </si>
  <si>
    <t>SRT8 (NC_042043.1)</t>
  </si>
  <si>
    <t>Sertoctavirus</t>
  </si>
  <si>
    <r>
      <t xml:space="preserve">Escherichia </t>
    </r>
    <r>
      <rPr>
        <sz val="11"/>
        <color theme="1"/>
        <rFont val="Calibri"/>
        <family val="2"/>
        <scheme val="minor"/>
      </rPr>
      <t>phage BrunoManser</t>
    </r>
  </si>
  <si>
    <t>Fiona Gerster (Summer Science Academy 2019)</t>
  </si>
  <si>
    <t>MZ501053</t>
  </si>
  <si>
    <t>304x</t>
  </si>
  <si>
    <t>Bas13</t>
  </si>
  <si>
    <t>phi2013 (MT427400.1)</t>
  </si>
  <si>
    <t>Tunavirus</t>
  </si>
  <si>
    <r>
      <t xml:space="preserve">Escherichia </t>
    </r>
    <r>
      <rPr>
        <sz val="11"/>
        <color theme="1"/>
        <rFont val="Calibri"/>
        <family val="2"/>
        <scheme val="minor"/>
      </rPr>
      <t>phage LeonhardEuler</t>
    </r>
  </si>
  <si>
    <t>MZ501092</t>
  </si>
  <si>
    <t>164x</t>
  </si>
  <si>
    <t>Bas14</t>
  </si>
  <si>
    <r>
      <rPr>
        <i/>
        <sz val="11"/>
        <color theme="1"/>
        <rFont val="Calibri"/>
        <family val="2"/>
        <scheme val="minor"/>
      </rPr>
      <t xml:space="preserve">Sodalis </t>
    </r>
    <r>
      <rPr>
        <sz val="11"/>
        <color theme="1"/>
        <rFont val="Calibri"/>
        <family val="2"/>
        <scheme val="minor"/>
      </rPr>
      <t>SO-1 (GQ502199.1)</t>
    </r>
  </si>
  <si>
    <r>
      <t xml:space="preserve">Escherichia </t>
    </r>
    <r>
      <rPr>
        <sz val="11"/>
        <color theme="1"/>
        <rFont val="Calibri"/>
        <family val="2"/>
        <scheme val="minor"/>
      </rPr>
      <t>phage TheodorHerzl</t>
    </r>
  </si>
  <si>
    <t>MZ501107</t>
  </si>
  <si>
    <t>172x</t>
  </si>
  <si>
    <t>Bas15</t>
  </si>
  <si>
    <t>PTXU06 (MK373789.1)</t>
  </si>
  <si>
    <r>
      <rPr>
        <i/>
        <sz val="11"/>
        <color theme="1"/>
        <rFont val="Calibri"/>
        <family val="2"/>
        <scheme val="minor"/>
      </rPr>
      <t>Escherichia</t>
    </r>
    <r>
      <rPr>
        <sz val="11"/>
        <color theme="1"/>
        <rFont val="Calibri"/>
        <family val="2"/>
        <scheme val="minor"/>
      </rPr>
      <t xml:space="preserve"> phage PaulFeyerabend</t>
    </r>
  </si>
  <si>
    <t>Switzerland: Dietikon</t>
  </si>
  <si>
    <t>Sarah Michaelis and Hubert Hilbi</t>
  </si>
  <si>
    <t>MZ501097</t>
  </si>
  <si>
    <t>209x</t>
  </si>
  <si>
    <t>Bas16</t>
  </si>
  <si>
    <r>
      <rPr>
        <i/>
        <sz val="11"/>
        <color theme="1"/>
        <rFont val="Calibri"/>
        <family val="2"/>
        <scheme val="minor"/>
      </rPr>
      <t>Escherichia</t>
    </r>
    <r>
      <rPr>
        <sz val="11"/>
        <color theme="1"/>
        <rFont val="Calibri"/>
        <family val="2"/>
        <scheme val="minor"/>
      </rPr>
      <t xml:space="preserve"> phage GeorgBuechner</t>
    </r>
  </si>
  <si>
    <t>MZ501070</t>
  </si>
  <si>
    <t>213x</t>
  </si>
  <si>
    <t>Bas17</t>
  </si>
  <si>
    <r>
      <t xml:space="preserve">Escherichia </t>
    </r>
    <r>
      <rPr>
        <sz val="11"/>
        <color theme="1"/>
        <rFont val="Calibri"/>
        <family val="2"/>
        <scheme val="minor"/>
      </rPr>
      <t>phage KarlBarth</t>
    </r>
  </si>
  <si>
    <t>MZ501088</t>
  </si>
  <si>
    <t>261x</t>
  </si>
  <si>
    <t>Bas18</t>
  </si>
  <si>
    <t>slur06 (LN881731.1)</t>
  </si>
  <si>
    <r>
      <t xml:space="preserve">Escherichia </t>
    </r>
    <r>
      <rPr>
        <sz val="11"/>
        <color theme="1"/>
        <rFont val="Calibri"/>
        <family val="2"/>
        <scheme val="minor"/>
      </rPr>
      <t>phage Oekolampad</t>
    </r>
  </si>
  <si>
    <t>MZ501095</t>
  </si>
  <si>
    <t>270x</t>
  </si>
  <si>
    <t>Bas19</t>
  </si>
  <si>
    <t>SP8 (MT682705.1)</t>
  </si>
  <si>
    <t>Nonagvirus</t>
  </si>
  <si>
    <r>
      <t xml:space="preserve">Escherichia </t>
    </r>
    <r>
      <rPr>
        <sz val="11"/>
        <color theme="1"/>
        <rFont val="Calibri"/>
        <family val="2"/>
        <scheme val="minor"/>
      </rPr>
      <t>phage ChristophMerian</t>
    </r>
  </si>
  <si>
    <t>MZ501057</t>
  </si>
  <si>
    <t>244x</t>
  </si>
  <si>
    <t>Bas20</t>
  </si>
  <si>
    <t>HdSG1 (MK373795.1)</t>
  </si>
  <si>
    <r>
      <t xml:space="preserve">Escherichia </t>
    </r>
    <r>
      <rPr>
        <sz val="11"/>
        <color theme="1"/>
        <rFont val="Calibri"/>
        <family val="2"/>
        <scheme val="minor"/>
      </rPr>
      <t>phage FritzHoffmann</t>
    </r>
  </si>
  <si>
    <t>hospital sewage</t>
  </si>
  <si>
    <t>MZ501068</t>
  </si>
  <si>
    <t>Bas21</t>
  </si>
  <si>
    <t>SLUR25 (LT907986.1)</t>
  </si>
  <si>
    <t>Seuratvirus</t>
  </si>
  <si>
    <r>
      <t xml:space="preserve">Escherichia </t>
    </r>
    <r>
      <rPr>
        <sz val="11"/>
        <color theme="1"/>
        <rFont val="Calibri"/>
        <family val="2"/>
        <scheme val="minor"/>
      </rPr>
      <t>phage GottfriedDienst</t>
    </r>
  </si>
  <si>
    <t>MZ501071</t>
  </si>
  <si>
    <t>314x</t>
  </si>
  <si>
    <t>LamB</t>
  </si>
  <si>
    <t>Bas22</t>
  </si>
  <si>
    <t>SLUR75 (R025197.1)</t>
  </si>
  <si>
    <r>
      <t xml:space="preserve">Escherichia </t>
    </r>
    <r>
      <rPr>
        <sz val="11"/>
        <color theme="1"/>
        <rFont val="Calibri"/>
        <family val="2"/>
        <scheme val="minor"/>
      </rPr>
      <t>phage KurtStettler</t>
    </r>
  </si>
  <si>
    <t>MZ501091</t>
  </si>
  <si>
    <t>185x</t>
  </si>
  <si>
    <t>Bas23</t>
  </si>
  <si>
    <r>
      <t xml:space="preserve">Escherichia </t>
    </r>
    <r>
      <rPr>
        <sz val="11"/>
        <color theme="1"/>
        <rFont val="Calibri"/>
        <family val="2"/>
        <scheme val="minor"/>
      </rPr>
      <t>phage WildeMaa</t>
    </r>
  </si>
  <si>
    <t>MZ501112</t>
  </si>
  <si>
    <t>338x</t>
  </si>
  <si>
    <t>Bas24</t>
  </si>
  <si>
    <r>
      <t xml:space="preserve">Escherichia </t>
    </r>
    <r>
      <rPr>
        <sz val="11"/>
        <color theme="1"/>
        <rFont val="Calibri"/>
        <family val="2"/>
        <scheme val="minor"/>
      </rPr>
      <t>phage SeppeHuegi</t>
    </r>
  </si>
  <si>
    <t>MZ501104</t>
  </si>
  <si>
    <t>77x</t>
  </si>
  <si>
    <t>Bas25</t>
  </si>
  <si>
    <r>
      <t xml:space="preserve">Aeromonas </t>
    </r>
    <r>
      <rPr>
        <sz val="11"/>
        <color theme="1"/>
        <rFont val="Calibri"/>
        <family val="2"/>
        <scheme val="minor"/>
      </rPr>
      <t>DO4 (MH230177.1)</t>
    </r>
  </si>
  <si>
    <r>
      <t xml:space="preserve">Escherichia </t>
    </r>
    <r>
      <rPr>
        <sz val="11"/>
        <color theme="1"/>
        <rFont val="Calibri"/>
        <family val="2"/>
        <scheme val="minor"/>
      </rPr>
      <t>phage VogelGryff</t>
    </r>
  </si>
  <si>
    <t>MZ501110</t>
  </si>
  <si>
    <t>Bas26</t>
  </si>
  <si>
    <t>100268_sal2 (KU927497.2)</t>
  </si>
  <si>
    <r>
      <t xml:space="preserve">Escherichia </t>
    </r>
    <r>
      <rPr>
        <sz val="11"/>
        <color theme="1"/>
        <rFont val="Calibri"/>
        <family val="2"/>
        <scheme val="minor"/>
      </rPr>
      <t>phage GreteKellenberger</t>
    </r>
  </si>
  <si>
    <t>dirty pond water</t>
  </si>
  <si>
    <t>Laura Mourelo (Summer Science Academy 2019)</t>
  </si>
  <si>
    <t>MZ501072</t>
  </si>
  <si>
    <t>240x</t>
  </si>
  <si>
    <t>LPS / O-antigen</t>
  </si>
  <si>
    <t>Bas27</t>
  </si>
  <si>
    <t>SB9 (MK867835.1)</t>
  </si>
  <si>
    <r>
      <rPr>
        <i/>
        <sz val="11"/>
        <color theme="1"/>
        <rFont val="Calibri"/>
        <family val="2"/>
        <scheme val="minor"/>
      </rPr>
      <t>Escherichia</t>
    </r>
    <r>
      <rPr>
        <sz val="11"/>
        <color theme="1"/>
        <rFont val="Calibri"/>
        <family val="2"/>
        <scheme val="minor"/>
      </rPr>
      <t xml:space="preserve"> phage TrudiGerster</t>
    </r>
  </si>
  <si>
    <t>MZ501108</t>
  </si>
  <si>
    <t>71x</t>
  </si>
  <si>
    <t>Bas28</t>
  </si>
  <si>
    <t>Ace (MT833283.1)</t>
  </si>
  <si>
    <r>
      <rPr>
        <i/>
        <sz val="11"/>
        <color theme="1"/>
        <rFont val="Calibri"/>
        <family val="2"/>
        <scheme val="minor"/>
      </rPr>
      <t xml:space="preserve">Escherichia </t>
    </r>
    <r>
      <rPr>
        <sz val="11"/>
        <color theme="1"/>
        <rFont val="Calibri"/>
        <family val="2"/>
        <scheme val="minor"/>
      </rPr>
      <t>phage IrmaTschudi</t>
    </r>
  </si>
  <si>
    <t>Susan Yusofy (Summer Science Academy 2019)</t>
  </si>
  <si>
    <t>MZ501076</t>
  </si>
  <si>
    <t>203x</t>
  </si>
  <si>
    <t>Bas29</t>
  </si>
  <si>
    <t>EASG3 (MK373799.1)</t>
  </si>
  <si>
    <r>
      <t xml:space="preserve">Escherichia </t>
    </r>
    <r>
      <rPr>
        <sz val="11"/>
        <color theme="1"/>
        <rFont val="Calibri"/>
        <family val="2"/>
        <scheme val="minor"/>
      </rPr>
      <t>phage SuperGirl</t>
    </r>
  </si>
  <si>
    <t>MZ501105</t>
  </si>
  <si>
    <t>170x</t>
  </si>
  <si>
    <t>Bas30</t>
  </si>
  <si>
    <r>
      <rPr>
        <i/>
        <sz val="11"/>
        <color theme="1"/>
        <rFont val="Calibri"/>
        <family val="2"/>
        <scheme val="minor"/>
      </rPr>
      <t>Escherichia</t>
    </r>
    <r>
      <rPr>
        <sz val="11"/>
        <color theme="1"/>
        <rFont val="Calibri"/>
        <family val="2"/>
        <scheme val="minor"/>
      </rPr>
      <t xml:space="preserve"> phage TrudiRoth</t>
    </r>
  </si>
  <si>
    <t>MZ501109</t>
  </si>
  <si>
    <t>64x</t>
  </si>
  <si>
    <t>Bas31</t>
  </si>
  <si>
    <t>pork29 (MF431732.1)</t>
  </si>
  <si>
    <r>
      <t xml:space="preserve">Escherichia </t>
    </r>
    <r>
      <rPr>
        <sz val="11"/>
        <color theme="1"/>
        <rFont val="Calibri"/>
        <family val="2"/>
        <scheme val="minor"/>
      </rPr>
      <t>phage DaisyDussoix</t>
    </r>
  </si>
  <si>
    <t>MZ501058</t>
  </si>
  <si>
    <t>98x</t>
  </si>
  <si>
    <r>
      <rPr>
        <i/>
        <sz val="11"/>
        <color theme="1"/>
        <rFont val="Calibri"/>
        <family val="2"/>
        <scheme val="minor"/>
      </rPr>
      <t>Escherichia</t>
    </r>
    <r>
      <rPr>
        <sz val="11"/>
        <color theme="1"/>
        <rFont val="Calibri"/>
        <family val="2"/>
        <scheme val="minor"/>
      </rPr>
      <t xml:space="preserve"> phage IrisVonRoten</t>
    </r>
  </si>
  <si>
    <t>Bas33</t>
  </si>
  <si>
    <t>SSP1 (NC_047881.1)</t>
  </si>
  <si>
    <r>
      <t xml:space="preserve">Escherichia </t>
    </r>
    <r>
      <rPr>
        <sz val="11"/>
        <color theme="1"/>
        <rFont val="Calibri"/>
        <family val="2"/>
        <scheme val="minor"/>
      </rPr>
      <t>phage HildyBeyeler</t>
    </r>
  </si>
  <si>
    <t>MZ501074</t>
  </si>
  <si>
    <t>81x</t>
  </si>
  <si>
    <t>Bas34</t>
  </si>
  <si>
    <t>NBEco002 (NC_048855.1)</t>
  </si>
  <si>
    <r>
      <rPr>
        <i/>
        <sz val="11"/>
        <color theme="1"/>
        <rFont val="Calibri"/>
        <family val="2"/>
        <scheme val="minor"/>
      </rPr>
      <t>Escherichia</t>
    </r>
    <r>
      <rPr>
        <sz val="11"/>
        <color theme="1"/>
        <rFont val="Calibri"/>
        <family val="2"/>
        <scheme val="minor"/>
      </rPr>
      <t xml:space="preserve"> phage SelmaRatti</t>
    </r>
  </si>
  <si>
    <t>MZ501103</t>
  </si>
  <si>
    <t>473x</t>
  </si>
  <si>
    <t>Bas35</t>
  </si>
  <si>
    <t>G29-2 (MK327940.1)</t>
  </si>
  <si>
    <t>Tequatrovirus</t>
  </si>
  <si>
    <t>unclassified (with G29-2)</t>
  </si>
  <si>
    <r>
      <t xml:space="preserve">Escherichia </t>
    </r>
    <r>
      <rPr>
        <sz val="11"/>
        <color theme="1"/>
        <rFont val="Calibri"/>
        <family val="2"/>
        <scheme val="minor"/>
      </rPr>
      <t>phage WilhelmHis</t>
    </r>
  </si>
  <si>
    <t>Rhine river bank</t>
  </si>
  <si>
    <t>Olivia Schmid (Summer Science Academy 2019)</t>
  </si>
  <si>
    <t>MZ501113</t>
  </si>
  <si>
    <t>Tsx</t>
  </si>
  <si>
    <t>LPS (deep core)</t>
  </si>
  <si>
    <t>Bas36</t>
  </si>
  <si>
    <t>O157 typing phage 7 (KP869105.1)</t>
  </si>
  <si>
    <r>
      <t xml:space="preserve">Escherichia </t>
    </r>
    <r>
      <rPr>
        <sz val="11"/>
        <color theme="1"/>
        <rFont val="Calibri"/>
        <family val="2"/>
        <scheme val="minor"/>
      </rPr>
      <t>phage Paracelsus</t>
    </r>
  </si>
  <si>
    <t>stream water</t>
  </si>
  <si>
    <t>Julia and Johann Harms</t>
  </si>
  <si>
    <t>MZ501096</t>
  </si>
  <si>
    <t>34x</t>
  </si>
  <si>
    <t>Bas37</t>
  </si>
  <si>
    <t>JK08 (LR877332.1)</t>
  </si>
  <si>
    <r>
      <t xml:space="preserve">Escherichia </t>
    </r>
    <r>
      <rPr>
        <sz val="11"/>
        <color theme="1"/>
        <rFont val="Calibri"/>
        <family val="2"/>
        <scheme val="minor"/>
      </rPr>
      <t>phage KarlGJung</t>
    </r>
  </si>
  <si>
    <t>MZ501089</t>
  </si>
  <si>
    <t>109x</t>
  </si>
  <si>
    <t>Bas38</t>
  </si>
  <si>
    <t>OE5505 (MK373785.1)</t>
  </si>
  <si>
    <r>
      <t xml:space="preserve">Escherichia </t>
    </r>
    <r>
      <rPr>
        <sz val="11"/>
        <color theme="1"/>
        <rFont val="Calibri"/>
        <family val="2"/>
        <scheme val="minor"/>
      </rPr>
      <t>phage AugustSocin</t>
    </r>
  </si>
  <si>
    <t>MZ501052</t>
  </si>
  <si>
    <t>86x</t>
  </si>
  <si>
    <t>OmpF</t>
  </si>
  <si>
    <t>Bas39</t>
  </si>
  <si>
    <t>R5505 (MK373786.1)</t>
  </si>
  <si>
    <r>
      <t xml:space="preserve">Escherichia </t>
    </r>
    <r>
      <rPr>
        <sz val="11"/>
        <color theme="1"/>
        <rFont val="Calibri"/>
        <family val="2"/>
        <scheme val="minor"/>
      </rPr>
      <t>phage FriedrichMiescher</t>
    </r>
  </si>
  <si>
    <t>Aaliyah Fripp (Summer Science Academy 2019)</t>
  </si>
  <si>
    <t>MZ501066</t>
  </si>
  <si>
    <t>58x</t>
  </si>
  <si>
    <t>Bas40</t>
  </si>
  <si>
    <r>
      <t>Escherichia</t>
    </r>
    <r>
      <rPr>
        <sz val="11"/>
        <color theme="1"/>
        <rFont val="Calibri"/>
        <family val="2"/>
        <scheme val="minor"/>
      </rPr>
      <t xml:space="preserve"> phage FelixPlatter</t>
    </r>
  </si>
  <si>
    <t>MZ501065</t>
  </si>
  <si>
    <t>87x</t>
  </si>
  <si>
    <t>OmpC</t>
  </si>
  <si>
    <t>Bas41</t>
  </si>
  <si>
    <t>teqhad (MN895434.1)</t>
  </si>
  <si>
    <t>unclassified (with teqhad)</t>
  </si>
  <si>
    <r>
      <t xml:space="preserve">Escherichia </t>
    </r>
    <r>
      <rPr>
        <sz val="11"/>
        <color theme="1"/>
        <rFont val="Calibri"/>
        <family val="2"/>
        <scheme val="minor"/>
      </rPr>
      <t>phage FriedrichZschokke</t>
    </r>
  </si>
  <si>
    <t>Luc Willi</t>
  </si>
  <si>
    <t>MZ501067</t>
  </si>
  <si>
    <t>84x</t>
  </si>
  <si>
    <t>Bas42</t>
  </si>
  <si>
    <t>Sf23 (MF158046.1)</t>
  </si>
  <si>
    <t>unclassified (with Sf23)</t>
  </si>
  <si>
    <r>
      <t xml:space="preserve">Escherichia </t>
    </r>
    <r>
      <rPr>
        <sz val="11"/>
        <color theme="1"/>
        <rFont val="Calibri"/>
        <family val="2"/>
        <scheme val="minor"/>
      </rPr>
      <t>phage AndreasVesalius</t>
    </r>
  </si>
  <si>
    <t>MZ501050</t>
  </si>
  <si>
    <t>32x</t>
  </si>
  <si>
    <t>Bas43</t>
  </si>
  <si>
    <t>RB18 (MH553563.1)</t>
  </si>
  <si>
    <r>
      <t xml:space="preserve">Escherichia </t>
    </r>
    <r>
      <rPr>
        <sz val="11"/>
        <color theme="1"/>
        <rFont val="Calibri"/>
        <family val="2"/>
        <scheme val="minor"/>
      </rPr>
      <t>phage TadeuszReichstein</t>
    </r>
  </si>
  <si>
    <t>MZ501106</t>
  </si>
  <si>
    <t>Bas44</t>
  </si>
  <si>
    <t>unclassified (with R5505)</t>
  </si>
  <si>
    <r>
      <t xml:space="preserve">Escherichia </t>
    </r>
    <r>
      <rPr>
        <sz val="11"/>
        <color theme="1"/>
        <rFont val="Calibri"/>
        <family val="2"/>
        <scheme val="minor"/>
      </rPr>
      <t>phage AdolfPortmann</t>
    </r>
  </si>
  <si>
    <t>MZ501046</t>
  </si>
  <si>
    <t>Bas45</t>
  </si>
  <si>
    <r>
      <t xml:space="preserve">Escherichia </t>
    </r>
    <r>
      <rPr>
        <sz val="11"/>
        <color theme="1"/>
        <rFont val="Calibri"/>
        <family val="2"/>
        <scheme val="minor"/>
      </rPr>
      <t>phage PaulHMueller</t>
    </r>
  </si>
  <si>
    <t>MZ501098</t>
  </si>
  <si>
    <t>65x</t>
  </si>
  <si>
    <t>OmpA</t>
  </si>
  <si>
    <t>Bas46</t>
  </si>
  <si>
    <t>PhAPEC2 (KF562341.1)</t>
  </si>
  <si>
    <t>Mosigvirus</t>
  </si>
  <si>
    <r>
      <t xml:space="preserve">Escherichia </t>
    </r>
    <r>
      <rPr>
        <sz val="11"/>
        <color theme="1"/>
        <rFont val="Calibri"/>
        <family val="2"/>
        <scheme val="minor"/>
      </rPr>
      <t>phage ChristianSchoenbein</t>
    </r>
  </si>
  <si>
    <t>MZ501056</t>
  </si>
  <si>
    <t>Bas47</t>
  </si>
  <si>
    <t>Shf125875 (KM407600.1)</t>
  </si>
  <si>
    <r>
      <t xml:space="preserve">Shigella </t>
    </r>
    <r>
      <rPr>
        <sz val="11"/>
        <color theme="1"/>
        <rFont val="Calibri"/>
        <family val="2"/>
        <scheme val="minor"/>
      </rPr>
      <t>virus UTAM</t>
    </r>
  </si>
  <si>
    <r>
      <t xml:space="preserve">Escherichia </t>
    </r>
    <r>
      <rPr>
        <sz val="11"/>
        <color theme="1"/>
        <rFont val="Calibri"/>
        <family val="2"/>
        <scheme val="minor"/>
      </rPr>
      <t>phage AlbertHofmann</t>
    </r>
  </si>
  <si>
    <t>MZ501047</t>
  </si>
  <si>
    <t>Bas48</t>
  </si>
  <si>
    <t>pangalan (MN850627.1)</t>
  </si>
  <si>
    <t>Vequintavirus</t>
  </si>
  <si>
    <t>unclassified (with pangalan)</t>
  </si>
  <si>
    <r>
      <rPr>
        <i/>
        <sz val="11"/>
        <color theme="1"/>
        <rFont val="Calibri"/>
        <family val="2"/>
        <scheme val="minor"/>
      </rPr>
      <t xml:space="preserve">Escherichia </t>
    </r>
    <r>
      <rPr>
        <sz val="11"/>
        <color theme="1"/>
        <rFont val="Calibri"/>
        <family val="2"/>
        <scheme val="minor"/>
      </rPr>
      <t>phage CarlMeissner</t>
    </r>
  </si>
  <si>
    <t>MZ501054</t>
  </si>
  <si>
    <t>67x</t>
  </si>
  <si>
    <t>Bas49</t>
  </si>
  <si>
    <t>O157 typing phage 5 (KP869103.1)</t>
  </si>
  <si>
    <r>
      <t xml:space="preserve">Escherichia </t>
    </r>
    <r>
      <rPr>
        <sz val="11"/>
        <color theme="1"/>
        <rFont val="Calibri"/>
        <family val="2"/>
        <scheme val="minor"/>
      </rPr>
      <t>phage EmilHeitz</t>
    </r>
  </si>
  <si>
    <t>MZ501062</t>
  </si>
  <si>
    <t>130x</t>
  </si>
  <si>
    <t>Bas50</t>
  </si>
  <si>
    <r>
      <t xml:space="preserve">Escherichia </t>
    </r>
    <r>
      <rPr>
        <sz val="11"/>
        <color theme="1"/>
        <rFont val="Calibri"/>
        <family val="2"/>
        <scheme val="minor"/>
      </rPr>
      <t>phage DrSchubert</t>
    </r>
  </si>
  <si>
    <t>Wenkenpark pond</t>
  </si>
  <si>
    <t>Dr. Thomas Schubert</t>
  </si>
  <si>
    <t>MZ501060</t>
  </si>
  <si>
    <t>Bas51</t>
  </si>
  <si>
    <r>
      <t xml:space="preserve">Escherichia </t>
    </r>
    <r>
      <rPr>
        <sz val="11"/>
        <color theme="1"/>
        <rFont val="Calibri"/>
        <family val="2"/>
        <scheme val="minor"/>
      </rPr>
      <t>phage WalterGehring</t>
    </r>
  </si>
  <si>
    <t>MZ501111</t>
  </si>
  <si>
    <t>80x</t>
  </si>
  <si>
    <t>Bas52</t>
  </si>
  <si>
    <t>bov10K2 (MT884008.2)</t>
  </si>
  <si>
    <t>unclassified (with bov10K2)</t>
  </si>
  <si>
    <r>
      <t xml:space="preserve">Escherichia </t>
    </r>
    <r>
      <rPr>
        <sz val="11"/>
        <color theme="1"/>
        <rFont val="Calibri"/>
        <family val="2"/>
        <scheme val="minor"/>
      </rPr>
      <t>phage RudolfGeigy</t>
    </r>
  </si>
  <si>
    <t>MZ501102</t>
  </si>
  <si>
    <t>79x</t>
  </si>
  <si>
    <t>Bas53</t>
  </si>
  <si>
    <r>
      <t xml:space="preserve">Escherichia </t>
    </r>
    <r>
      <rPr>
        <sz val="11"/>
        <color theme="1"/>
        <rFont val="Calibri"/>
        <family val="2"/>
        <scheme val="minor"/>
      </rPr>
      <t>phage JohannBauhin</t>
    </r>
  </si>
  <si>
    <t>MZ501083</t>
  </si>
  <si>
    <t>63x</t>
  </si>
  <si>
    <t>Bas54</t>
  </si>
  <si>
    <t>bov25_3 (MT884011.2)</t>
  </si>
  <si>
    <r>
      <t xml:space="preserve">Escherichia </t>
    </r>
    <r>
      <rPr>
        <sz val="11"/>
        <color theme="1"/>
        <rFont val="Calibri"/>
        <family val="2"/>
        <scheme val="minor"/>
      </rPr>
      <t>phage MaxBurger</t>
    </r>
  </si>
  <si>
    <t>MZ501093</t>
  </si>
  <si>
    <t>82x</t>
  </si>
  <si>
    <t>Bas55</t>
  </si>
  <si>
    <t>nomine (MN850649.1)</t>
  </si>
  <si>
    <t>unclassified (with nomine)</t>
  </si>
  <si>
    <r>
      <t xml:space="preserve">Escherichia </t>
    </r>
    <r>
      <rPr>
        <sz val="11"/>
        <color theme="1"/>
        <rFont val="Calibri"/>
        <family val="2"/>
        <scheme val="minor"/>
      </rPr>
      <t>phage JeffSchatz</t>
    </r>
  </si>
  <si>
    <t>Miguel Sanchez (Summer Science Academy 2019)</t>
  </si>
  <si>
    <t>MZ501082</t>
  </si>
  <si>
    <t>73x</t>
  </si>
  <si>
    <t>Bas56</t>
  </si>
  <si>
    <t>isim (MN850597.1)</t>
  </si>
  <si>
    <t>unclassified (with isim)</t>
  </si>
  <si>
    <r>
      <t xml:space="preserve">Escherichia </t>
    </r>
    <r>
      <rPr>
        <sz val="11"/>
        <color theme="1"/>
        <rFont val="Calibri"/>
        <family val="2"/>
        <scheme val="minor"/>
      </rPr>
      <t>phage AlexBoehm</t>
    </r>
  </si>
  <si>
    <t>MZ501048</t>
  </si>
  <si>
    <t>Bas57</t>
  </si>
  <si>
    <r>
      <t xml:space="preserve">Escherichia </t>
    </r>
    <r>
      <rPr>
        <sz val="11"/>
        <color theme="1"/>
        <rFont val="Calibri"/>
        <family val="2"/>
        <scheme val="minor"/>
      </rPr>
      <t>phage MaxTheCat</t>
    </r>
  </si>
  <si>
    <t>MZ501094</t>
  </si>
  <si>
    <t>Bas58</t>
  </si>
  <si>
    <t>CM1 (MK962749.1)</t>
  </si>
  <si>
    <t>unclassified (with CM1)</t>
  </si>
  <si>
    <r>
      <t xml:space="preserve">Escherichia </t>
    </r>
    <r>
      <rPr>
        <sz val="11"/>
        <color theme="1"/>
        <rFont val="Calibri"/>
        <family val="2"/>
        <scheme val="minor"/>
      </rPr>
      <t>phage HeinrichReichert</t>
    </r>
  </si>
  <si>
    <t>Leon Bondi (Summer Science Academy 2019)</t>
  </si>
  <si>
    <t>MZ501073</t>
  </si>
  <si>
    <t>36x</t>
  </si>
  <si>
    <t>Bas59</t>
  </si>
  <si>
    <r>
      <t xml:space="preserve">Escherichia </t>
    </r>
    <r>
      <rPr>
        <sz val="11"/>
        <color theme="1"/>
        <rFont val="Calibri"/>
        <family val="2"/>
        <scheme val="minor"/>
      </rPr>
      <t>phage EduardKellenberger</t>
    </r>
  </si>
  <si>
    <t>Charlotte Loeffler (Summer Science Academy 2019)</t>
  </si>
  <si>
    <t>MZ501061</t>
  </si>
  <si>
    <t>105x</t>
  </si>
  <si>
    <r>
      <rPr>
        <i/>
        <sz val="11"/>
        <color theme="1"/>
        <rFont val="Calibri"/>
        <family val="2"/>
        <scheme val="minor"/>
      </rPr>
      <t xml:space="preserve">Escherichia </t>
    </r>
    <r>
      <rPr>
        <sz val="11"/>
        <color theme="1"/>
        <rFont val="Calibri"/>
        <family val="2"/>
        <scheme val="minor"/>
      </rPr>
      <t>phage PaulScherrer</t>
    </r>
  </si>
  <si>
    <r>
      <t xml:space="preserve">Escherichia </t>
    </r>
    <r>
      <rPr>
        <sz val="11"/>
        <rFont val="Calibri"/>
        <family val="2"/>
        <scheme val="minor"/>
      </rPr>
      <t>phage EmilieFrey</t>
    </r>
  </si>
  <si>
    <r>
      <t xml:space="preserve">Escherichia </t>
    </r>
    <r>
      <rPr>
        <sz val="11"/>
        <rFont val="Calibri"/>
        <family val="2"/>
        <scheme val="minor"/>
      </rPr>
      <t>phage JohannJBalmer</t>
    </r>
  </si>
  <si>
    <t>Patrick Sauer</t>
  </si>
  <si>
    <t>rough LPS</t>
  </si>
  <si>
    <t>Bas64</t>
  </si>
  <si>
    <t>PHB20 (MN481366.1)</t>
  </si>
  <si>
    <r>
      <t xml:space="preserve">Escherichia </t>
    </r>
    <r>
      <rPr>
        <sz val="11"/>
        <color theme="1"/>
        <rFont val="Calibri"/>
        <family val="2"/>
        <scheme val="minor"/>
      </rPr>
      <t>phage JeanTinguely</t>
    </r>
  </si>
  <si>
    <t>MZ501081</t>
  </si>
  <si>
    <t>127x</t>
  </si>
  <si>
    <t>Bas65</t>
  </si>
  <si>
    <t>T7 (AY264774.1)</t>
  </si>
  <si>
    <r>
      <t xml:space="preserve">Escherichia </t>
    </r>
    <r>
      <rPr>
        <sz val="11"/>
        <color theme="1"/>
        <rFont val="Calibri"/>
        <family val="2"/>
        <scheme val="minor"/>
      </rPr>
      <t>phage JacobBurckhardt</t>
    </r>
  </si>
  <si>
    <t>MZ501078</t>
  </si>
  <si>
    <t>232x</t>
  </si>
  <si>
    <t>Bas66</t>
  </si>
  <si>
    <t>Teetrevirus</t>
  </si>
  <si>
    <r>
      <t xml:space="preserve">Escherichia </t>
    </r>
    <r>
      <rPr>
        <sz val="11"/>
        <color theme="1"/>
        <rFont val="Calibri"/>
        <family val="2"/>
        <scheme val="minor"/>
      </rPr>
      <t>virus T3</t>
    </r>
  </si>
  <si>
    <r>
      <rPr>
        <i/>
        <sz val="11"/>
        <color theme="1"/>
        <rFont val="Calibri"/>
        <family val="2"/>
        <scheme val="minor"/>
      </rPr>
      <t xml:space="preserve">Escherichia </t>
    </r>
    <r>
      <rPr>
        <sz val="11"/>
        <color theme="1"/>
        <rFont val="Calibri"/>
        <family val="2"/>
        <scheme val="minor"/>
      </rPr>
      <t>phage T3K12</t>
    </r>
  </si>
  <si>
    <t>n.a. (laboratory engineering)</t>
  </si>
  <si>
    <t>reference phage / Marco Burkolter</t>
  </si>
  <si>
    <t>Bas67</t>
  </si>
  <si>
    <t>PhiV-1 (MT542512.1)</t>
  </si>
  <si>
    <t>Berlinvirus</t>
  </si>
  <si>
    <r>
      <t xml:space="preserve">Escherichia </t>
    </r>
    <r>
      <rPr>
        <sz val="11"/>
        <color theme="1"/>
        <rFont val="Calibri"/>
        <family val="2"/>
        <scheme val="minor"/>
      </rPr>
      <t>phage ErnstBeyeler</t>
    </r>
  </si>
  <si>
    <t>MZ501064</t>
  </si>
  <si>
    <t>271x</t>
  </si>
  <si>
    <t>Bas68</t>
  </si>
  <si>
    <r>
      <rPr>
        <i/>
        <sz val="11"/>
        <color theme="1"/>
        <rFont val="Calibri"/>
        <family val="2"/>
        <scheme val="minor"/>
      </rPr>
      <t>Escherichia</t>
    </r>
    <r>
      <rPr>
        <sz val="11"/>
        <color theme="1"/>
        <rFont val="Calibri"/>
        <family val="2"/>
        <scheme val="minor"/>
      </rPr>
      <t xml:space="preserve"> phage CarlSpitteler</t>
    </r>
  </si>
  <si>
    <t>MZ501055</t>
  </si>
  <si>
    <t>225x</t>
  </si>
  <si>
    <r>
      <rPr>
        <i/>
        <sz val="11"/>
        <color theme="1"/>
        <rFont val="Calibri"/>
        <family val="2"/>
        <scheme val="minor"/>
      </rPr>
      <t>Escherichia</t>
    </r>
    <r>
      <rPr>
        <sz val="11"/>
        <color theme="1"/>
        <rFont val="Calibri"/>
        <family val="2"/>
        <scheme val="minor"/>
      </rPr>
      <t xml:space="preserve"> phage AlfredRasser</t>
    </r>
  </si>
  <si>
    <r>
      <t xml:space="preserve">Escherichia </t>
    </r>
    <r>
      <rPr>
        <sz val="11"/>
        <color theme="1"/>
        <rFont val="Calibri"/>
        <family val="2"/>
        <scheme val="minor"/>
      </rPr>
      <t>virus T5</t>
    </r>
  </si>
  <si>
    <r>
      <t xml:space="preserve">Escherichia </t>
    </r>
    <r>
      <rPr>
        <sz val="11"/>
        <color theme="1"/>
        <rFont val="Calibri"/>
        <family val="2"/>
        <scheme val="minor"/>
      </rPr>
      <t>phage T5 (reference)</t>
    </r>
  </si>
  <si>
    <t>NC_005859.1</t>
  </si>
  <si>
    <r>
      <t xml:space="preserve">Escherichia </t>
    </r>
    <r>
      <rPr>
        <sz val="11"/>
        <color theme="1"/>
        <rFont val="Calibri"/>
        <family val="2"/>
        <scheme val="minor"/>
      </rPr>
      <t>phage T2 (reference)</t>
    </r>
  </si>
  <si>
    <t>MH751506.1</t>
  </si>
  <si>
    <t>FadL</t>
  </si>
  <si>
    <r>
      <t xml:space="preserve">Escherichia </t>
    </r>
    <r>
      <rPr>
        <sz val="11"/>
        <color theme="1"/>
        <rFont val="Calibri"/>
        <family val="2"/>
        <scheme val="minor"/>
      </rPr>
      <t>virus T4</t>
    </r>
  </si>
  <si>
    <r>
      <t xml:space="preserve">Escherichia </t>
    </r>
    <r>
      <rPr>
        <sz val="11"/>
        <color theme="1"/>
        <rFont val="Calibri"/>
        <family val="2"/>
        <scheme val="minor"/>
      </rPr>
      <t>phage T4D (reference)</t>
    </r>
  </si>
  <si>
    <t>obtained from Prof. Kenneth Kreuzer</t>
  </si>
  <si>
    <t>NC_000866.4</t>
  </si>
  <si>
    <r>
      <t xml:space="preserve">Escherichia </t>
    </r>
    <r>
      <rPr>
        <sz val="11"/>
        <color theme="1"/>
        <rFont val="Calibri"/>
        <family val="2"/>
        <scheme val="minor"/>
      </rPr>
      <t>phage T6 (reference)</t>
    </r>
  </si>
  <si>
    <t>MH550421.1</t>
  </si>
  <si>
    <r>
      <t xml:space="preserve">Escherichia </t>
    </r>
    <r>
      <rPr>
        <sz val="11"/>
        <color theme="1"/>
        <rFont val="Calibri"/>
        <family val="2"/>
        <scheme val="minor"/>
      </rPr>
      <t>virus T7</t>
    </r>
  </si>
  <si>
    <r>
      <t xml:space="preserve">Escherichia </t>
    </r>
    <r>
      <rPr>
        <sz val="11"/>
        <color theme="1"/>
        <rFont val="Calibri"/>
        <family val="2"/>
        <scheme val="minor"/>
      </rPr>
      <t>phage T7 (reference)</t>
    </r>
  </si>
  <si>
    <t>NC_001604</t>
  </si>
  <si>
    <t>Lambdavirus</t>
  </si>
  <si>
    <r>
      <t xml:space="preserve">Escherichia </t>
    </r>
    <r>
      <rPr>
        <sz val="11"/>
        <color theme="1"/>
        <rFont val="Calibri"/>
        <family val="2"/>
        <scheme val="minor"/>
      </rPr>
      <t>virus lambda</t>
    </r>
  </si>
  <si>
    <r>
      <t xml:space="preserve">Escherichia </t>
    </r>
    <r>
      <rPr>
        <sz val="11"/>
        <color theme="1"/>
        <rFont val="Calibri"/>
        <family val="2"/>
        <scheme val="minor"/>
      </rPr>
      <t>phage lambda</t>
    </r>
    <r>
      <rPr>
        <i/>
        <sz val="11"/>
        <color theme="1"/>
        <rFont val="Calibri"/>
        <family val="2"/>
        <scheme val="minor"/>
      </rPr>
      <t xml:space="preserve">vir </t>
    </r>
    <r>
      <rPr>
        <sz val="11"/>
        <color theme="1"/>
        <rFont val="Calibri"/>
        <family val="2"/>
        <scheme val="minor"/>
      </rPr>
      <t>(reference)</t>
    </r>
  </si>
  <si>
    <t>our laboratory collection</t>
  </si>
  <si>
    <t>NC_001416</t>
  </si>
  <si>
    <t>Punavirus</t>
  </si>
  <si>
    <r>
      <t xml:space="preserve">Escherichia </t>
    </r>
    <r>
      <rPr>
        <sz val="11"/>
        <color theme="1"/>
        <rFont val="Calibri"/>
        <family val="2"/>
        <scheme val="minor"/>
      </rPr>
      <t>virus P1</t>
    </r>
  </si>
  <si>
    <r>
      <t xml:space="preserve">Escherichia </t>
    </r>
    <r>
      <rPr>
        <sz val="11"/>
        <color theme="1"/>
        <rFont val="Calibri"/>
        <family val="2"/>
        <scheme val="minor"/>
      </rPr>
      <t>phage P1</t>
    </r>
    <r>
      <rPr>
        <i/>
        <sz val="11"/>
        <color theme="1"/>
        <rFont val="Calibri"/>
        <family val="2"/>
        <scheme val="minor"/>
      </rPr>
      <t xml:space="preserve">vir </t>
    </r>
    <r>
      <rPr>
        <sz val="11"/>
        <color theme="1"/>
        <rFont val="Calibri"/>
        <family val="2"/>
        <scheme val="minor"/>
      </rPr>
      <t>(reference)</t>
    </r>
  </si>
  <si>
    <t>NC_005856.1</t>
  </si>
  <si>
    <t>Peduovirus</t>
  </si>
  <si>
    <r>
      <t xml:space="preserve">Escherichia </t>
    </r>
    <r>
      <rPr>
        <sz val="11"/>
        <color theme="1"/>
        <rFont val="Calibri"/>
        <family val="2"/>
        <scheme val="minor"/>
      </rPr>
      <t>virus P2</t>
    </r>
  </si>
  <si>
    <r>
      <t xml:space="preserve">Escherichia </t>
    </r>
    <r>
      <rPr>
        <sz val="11"/>
        <color theme="1"/>
        <rFont val="Calibri"/>
        <family val="2"/>
        <scheme val="minor"/>
      </rPr>
      <t>phage P2</t>
    </r>
    <r>
      <rPr>
        <i/>
        <sz val="11"/>
        <color theme="1"/>
        <rFont val="Calibri"/>
        <family val="2"/>
        <scheme val="minor"/>
      </rPr>
      <t xml:space="preserve">vir </t>
    </r>
    <r>
      <rPr>
        <sz val="11"/>
        <color theme="1"/>
        <rFont val="Calibri"/>
        <family val="2"/>
        <scheme val="minor"/>
      </rPr>
      <t>(reference)</t>
    </r>
  </si>
  <si>
    <t>obtained from Dr. Nicolas Wenner / Prof. Jay Hinton</t>
  </si>
  <si>
    <t>NC_001895.1</t>
  </si>
  <si>
    <t>Queuovirinae</t>
  </si>
  <si>
    <t>Epseptimavirus</t>
  </si>
  <si>
    <t>Braunvirinae</t>
  </si>
  <si>
    <t>Tunavirinae</t>
  </si>
  <si>
    <t>Straboviridae</t>
  </si>
  <si>
    <t>Tevenvirinae</t>
  </si>
  <si>
    <t>Vequintavirinae</t>
  </si>
  <si>
    <t>NGR?</t>
  </si>
  <si>
    <t>O16-type O-antigen?</t>
  </si>
  <si>
    <t>Escherichia phage CurroJimenez</t>
  </si>
  <si>
    <t>PQ850593</t>
  </si>
  <si>
    <t>PQ850594</t>
  </si>
  <si>
    <t>PQ850595</t>
  </si>
  <si>
    <t>PQ850596</t>
  </si>
  <si>
    <t>PQ850597</t>
  </si>
  <si>
    <t>PQ850598</t>
  </si>
  <si>
    <t>PQ850599</t>
  </si>
  <si>
    <t>PQ850601</t>
  </si>
  <si>
    <t>PQ850602</t>
  </si>
  <si>
    <t>PQ850603</t>
  </si>
  <si>
    <t>PQ850604</t>
  </si>
  <si>
    <t>PQ850605</t>
  </si>
  <si>
    <t>PQ850606</t>
  </si>
  <si>
    <t>PQ850607</t>
  </si>
  <si>
    <t>PQ850608</t>
  </si>
  <si>
    <t>PQ850610</t>
  </si>
  <si>
    <t>PQ850611</t>
  </si>
  <si>
    <t>PQ850612</t>
  </si>
  <si>
    <t>PQ850613</t>
  </si>
  <si>
    <t>PQ850614</t>
  </si>
  <si>
    <t>PQ850615</t>
  </si>
  <si>
    <t>PQ850617</t>
  </si>
  <si>
    <t>PQ850618</t>
  </si>
  <si>
    <t>PQ850619</t>
  </si>
  <si>
    <t>PQ850620</t>
  </si>
  <si>
    <t>PQ850621</t>
  </si>
  <si>
    <t>PQ850622</t>
  </si>
  <si>
    <t>PQ850623</t>
  </si>
  <si>
    <t>PQ850624</t>
  </si>
  <si>
    <t>PQ850625</t>
  </si>
  <si>
    <t>PQ850626</t>
  </si>
  <si>
    <t>PQ850627</t>
  </si>
  <si>
    <t>PQ850628</t>
  </si>
  <si>
    <t>PQ850629</t>
  </si>
  <si>
    <t>PQ850630</t>
  </si>
  <si>
    <t>PQ850631</t>
  </si>
  <si>
    <t>PQ850632</t>
  </si>
  <si>
    <t xml:space="preserve">S2 Table. List of all phages used in this study. </t>
  </si>
  <si>
    <t>Peduoviridae</t>
  </si>
  <si>
    <t>Phage</t>
  </si>
  <si>
    <t>sys_id</t>
  </si>
  <si>
    <t>type</t>
  </si>
  <si>
    <t>subtype</t>
  </si>
  <si>
    <t>activity</t>
  </si>
  <si>
    <t>sys_beg</t>
  </si>
  <si>
    <t>sys_end</t>
  </si>
  <si>
    <t>protein_in_syst</t>
  </si>
  <si>
    <t>genes_count</t>
  </si>
  <si>
    <t>name_of_profiles_in_sys</t>
  </si>
  <si>
    <t>bas31</t>
  </si>
  <si>
    <t>bas31_orf148_94</t>
  </si>
  <si>
    <t>Other</t>
  </si>
  <si>
    <t>orf148</t>
  </si>
  <si>
    <t>Antidefense</t>
  </si>
  <si>
    <t>bas31_0103</t>
  </si>
  <si>
    <t>bas31_rad_95</t>
  </si>
  <si>
    <t>Anti_Retron</t>
  </si>
  <si>
    <t>rad</t>
  </si>
  <si>
    <t>bas31_0085</t>
  </si>
  <si>
    <t>bas32</t>
  </si>
  <si>
    <t>bas32_orf148_96</t>
  </si>
  <si>
    <t>bas32_0106</t>
  </si>
  <si>
    <t>bas32_rad_97</t>
  </si>
  <si>
    <t>bas32_0085</t>
  </si>
  <si>
    <t>bas33</t>
  </si>
  <si>
    <t>bas33_orf148_98</t>
  </si>
  <si>
    <t>bas33_0106</t>
  </si>
  <si>
    <t>bas33_rad_99</t>
  </si>
  <si>
    <t>bas33_0085</t>
  </si>
  <si>
    <t>bas35</t>
  </si>
  <si>
    <t>bas35_acb1_2</t>
  </si>
  <si>
    <t>Anti_CBASS</t>
  </si>
  <si>
    <t>acb1</t>
  </si>
  <si>
    <t>bas35_0268</t>
  </si>
  <si>
    <t>bas35_acb2_3</t>
  </si>
  <si>
    <t>acb2</t>
  </si>
  <si>
    <t>bas35_0235</t>
  </si>
  <si>
    <t>bas35_adfa_4</t>
  </si>
  <si>
    <t>Anti_DarTG</t>
  </si>
  <si>
    <t>adfa</t>
  </si>
  <si>
    <t>bas35_0147</t>
  </si>
  <si>
    <t>bas35_alt_5</t>
  </si>
  <si>
    <t>Anti_TA</t>
  </si>
  <si>
    <t>alt</t>
  </si>
  <si>
    <t>bas35_0031</t>
  </si>
  <si>
    <t>bas35_0032</t>
  </si>
  <si>
    <t>bas35_0031,bas35_0032</t>
  </si>
  <si>
    <t>alt,alt</t>
  </si>
  <si>
    <t>bas35_arn_6</t>
  </si>
  <si>
    <t>Anti_RM</t>
  </si>
  <si>
    <t>arn</t>
  </si>
  <si>
    <t>bas35_0088</t>
  </si>
  <si>
    <t>bas35_dmd_7</t>
  </si>
  <si>
    <t>dmd</t>
  </si>
  <si>
    <t>bas35_0150</t>
  </si>
  <si>
    <t>bas35_stp_8</t>
  </si>
  <si>
    <t>stp</t>
  </si>
  <si>
    <t>bas35_0100</t>
  </si>
  <si>
    <t>bas35_tifa_9</t>
  </si>
  <si>
    <t>tifa</t>
  </si>
  <si>
    <t>bas35_0149</t>
  </si>
  <si>
    <t>bas36</t>
  </si>
  <si>
    <t>bas36_acb1_10</t>
  </si>
  <si>
    <t>bas36_0263</t>
  </si>
  <si>
    <t>bas36_acb2_11</t>
  </si>
  <si>
    <t>bas36_0230</t>
  </si>
  <si>
    <t>bas36_adfa_12</t>
  </si>
  <si>
    <t>bas36_0146</t>
  </si>
  <si>
    <t>bas36_alt_13</t>
  </si>
  <si>
    <t>bas36_0031</t>
  </si>
  <si>
    <t>bas36_0032</t>
  </si>
  <si>
    <t>bas36_0031,bas36_0032</t>
  </si>
  <si>
    <t>bas36_arn_14</t>
  </si>
  <si>
    <t>bas36_0088</t>
  </si>
  <si>
    <t>bas36_dmd_15</t>
  </si>
  <si>
    <t>bas36_0149</t>
  </si>
  <si>
    <t>bas36_stp_16</t>
  </si>
  <si>
    <t>bas36_0099</t>
  </si>
  <si>
    <t>bas36_tifa_17</t>
  </si>
  <si>
    <t>bas36_0148</t>
  </si>
  <si>
    <t>bas37</t>
  </si>
  <si>
    <t>bas37_acb1_18</t>
  </si>
  <si>
    <t>bas37_0262</t>
  </si>
  <si>
    <t>bas37_acb2_19</t>
  </si>
  <si>
    <t>bas37_0228</t>
  </si>
  <si>
    <t>bas37_alt_20</t>
  </si>
  <si>
    <t>bas37_0032</t>
  </si>
  <si>
    <t>bas37_0033</t>
  </si>
  <si>
    <t>bas37_0032,bas37_0033</t>
  </si>
  <si>
    <t>bas37_arn_21</t>
  </si>
  <si>
    <t>bas37_0090</t>
  </si>
  <si>
    <t>bas37_dam_22</t>
  </si>
  <si>
    <t>dam</t>
  </si>
  <si>
    <t>bas37_0142</t>
  </si>
  <si>
    <t>bas37_dmd_23</t>
  </si>
  <si>
    <t>bas37_0150</t>
  </si>
  <si>
    <t>bas37_stp_24</t>
  </si>
  <si>
    <t>bas37_0100</t>
  </si>
  <si>
    <t>bas37_tifa_25</t>
  </si>
  <si>
    <t>bas37_0149</t>
  </si>
  <si>
    <t>bas38</t>
  </si>
  <si>
    <t>bas38_acb1_26</t>
  </si>
  <si>
    <t>bas38_0262</t>
  </si>
  <si>
    <t>bas38_acb2_27</t>
  </si>
  <si>
    <t>bas38_0232</t>
  </si>
  <si>
    <t>bas38_adfa_28</t>
  </si>
  <si>
    <t>bas38_0149</t>
  </si>
  <si>
    <t>bas38_alt_29</t>
  </si>
  <si>
    <t>bas38_0034</t>
  </si>
  <si>
    <t>bas38_0035</t>
  </si>
  <si>
    <t>bas38_0034,bas38_0035</t>
  </si>
  <si>
    <t>bas38_dmd_30</t>
  </si>
  <si>
    <t>bas38_0152</t>
  </si>
  <si>
    <t>bas38_stp_31</t>
  </si>
  <si>
    <t>bas38_0101</t>
  </si>
  <si>
    <t>bas38_tifa_32</t>
  </si>
  <si>
    <t>bas38_0151</t>
  </si>
  <si>
    <t>bas39</t>
  </si>
  <si>
    <t>bas39_acb1_33</t>
  </si>
  <si>
    <t>bas39_0272</t>
  </si>
  <si>
    <t>bas39_acb2_34</t>
  </si>
  <si>
    <t>bas39_0239</t>
  </si>
  <si>
    <t>bas39_adfa_35</t>
  </si>
  <si>
    <t>bas39_0151</t>
  </si>
  <si>
    <t>bas39_alt_36</t>
  </si>
  <si>
    <t>bas39_0033</t>
  </si>
  <si>
    <t>bas39_0034</t>
  </si>
  <si>
    <t>bas39_0033,bas39_0034</t>
  </si>
  <si>
    <t>bas39_arn_37</t>
  </si>
  <si>
    <t>bas39_0092</t>
  </si>
  <si>
    <t>bas39_dmd_38</t>
  </si>
  <si>
    <t>bas39_0154</t>
  </si>
  <si>
    <t>bas39_stp_39</t>
  </si>
  <si>
    <t>bas39_0102</t>
  </si>
  <si>
    <t>bas39_tifa_40</t>
  </si>
  <si>
    <t>bas39_0153</t>
  </si>
  <si>
    <t>bas40</t>
  </si>
  <si>
    <t>bas40_acb1_41</t>
  </si>
  <si>
    <t>bas40_0258</t>
  </si>
  <si>
    <t>bas40_acb2_42</t>
  </si>
  <si>
    <t>bas40_0226</t>
  </si>
  <si>
    <t>bas40_adfa_43</t>
  </si>
  <si>
    <t>bas40_0146</t>
  </si>
  <si>
    <t>bas40_alt_44</t>
  </si>
  <si>
    <t>bas40_0032</t>
  </si>
  <si>
    <t>bas40_0033</t>
  </si>
  <si>
    <t>bas40_0032,bas40_0033</t>
  </si>
  <si>
    <t>bas40_arn_45</t>
  </si>
  <si>
    <t>bas40_0089</t>
  </si>
  <si>
    <t>bas40_dmd_46</t>
  </si>
  <si>
    <t>bas40_0149</t>
  </si>
  <si>
    <t>bas40_ipi_47</t>
  </si>
  <si>
    <t>ipi</t>
  </si>
  <si>
    <t>bas40_0257</t>
  </si>
  <si>
    <t>bas40_stp_48</t>
  </si>
  <si>
    <t>bas40_0099</t>
  </si>
  <si>
    <t>bas40_tifa_49</t>
  </si>
  <si>
    <t>bas40_0148</t>
  </si>
  <si>
    <t>bas41</t>
  </si>
  <si>
    <t>bas41_acb1_50</t>
  </si>
  <si>
    <t>bas41_0267</t>
  </si>
  <si>
    <t>bas41_acb2_51</t>
  </si>
  <si>
    <t>bas41_0236</t>
  </si>
  <si>
    <t>bas41_adfa_52</t>
  </si>
  <si>
    <t>bas41_0149</t>
  </si>
  <si>
    <t>bas41_alt_53</t>
  </si>
  <si>
    <t>bas41_0031</t>
  </si>
  <si>
    <t>bas41_0032</t>
  </si>
  <si>
    <t>bas41_0031,bas41_0032</t>
  </si>
  <si>
    <t>bas41_arn_54</t>
  </si>
  <si>
    <t>bas41_0088</t>
  </si>
  <si>
    <t>bas41_dmd_55</t>
  </si>
  <si>
    <t>bas41_0152</t>
  </si>
  <si>
    <t>bas41_ipi_56</t>
  </si>
  <si>
    <t>bas41_0266</t>
  </si>
  <si>
    <t>bas41_stp_57</t>
  </si>
  <si>
    <t>bas41_0099</t>
  </si>
  <si>
    <t>bas41_tifa_58</t>
  </si>
  <si>
    <t>bas41_0151</t>
  </si>
  <si>
    <t>bas42</t>
  </si>
  <si>
    <t>bas42_acb1_59</t>
  </si>
  <si>
    <t>bas42_0267</t>
  </si>
  <si>
    <t>bas42_acb2_60</t>
  </si>
  <si>
    <t>bas42_0233</t>
  </si>
  <si>
    <t>bas42_adfa_61</t>
  </si>
  <si>
    <t>bas42_0145</t>
  </si>
  <si>
    <t>bas42_alt_62</t>
  </si>
  <si>
    <t>bas42_0031</t>
  </si>
  <si>
    <t>bas42_0032</t>
  </si>
  <si>
    <t>bas42_0031,bas42_0032</t>
  </si>
  <si>
    <t>bas42_dmd_63</t>
  </si>
  <si>
    <t>bas42_0148</t>
  </si>
  <si>
    <t>bas42_stp_64</t>
  </si>
  <si>
    <t>bas42_0097</t>
  </si>
  <si>
    <t>bas42_tifa_65</t>
  </si>
  <si>
    <t>bas42_0147</t>
  </si>
  <si>
    <t>bas43</t>
  </si>
  <si>
    <t>bas43_acb2_66</t>
  </si>
  <si>
    <t>bas43_0227</t>
  </si>
  <si>
    <t>bas43_alt_67</t>
  </si>
  <si>
    <t>bas43_0032</t>
  </si>
  <si>
    <t>bas43_0033</t>
  </si>
  <si>
    <t>bas43_0032,bas43_0033</t>
  </si>
  <si>
    <t>bas43_arn_68</t>
  </si>
  <si>
    <t>bas43_0091</t>
  </si>
  <si>
    <t>bas43_dmd_69</t>
  </si>
  <si>
    <t>bas43_0153</t>
  </si>
  <si>
    <t>bas43_stp_70</t>
  </si>
  <si>
    <t>bas43_0101</t>
  </si>
  <si>
    <t>bas43_tifa_71</t>
  </si>
  <si>
    <t>bas43_0152</t>
  </si>
  <si>
    <t>bas44</t>
  </si>
  <si>
    <t>bas44_acb1_72</t>
  </si>
  <si>
    <t>bas44_0265</t>
  </si>
  <si>
    <t>bas44_acb2_73</t>
  </si>
  <si>
    <t>bas44_0232</t>
  </si>
  <si>
    <t>bas44_alt_74</t>
  </si>
  <si>
    <t>bas44_0032</t>
  </si>
  <si>
    <t>bas44_0033</t>
  </si>
  <si>
    <t>bas44_0032,bas44_0033</t>
  </si>
  <si>
    <t>bas44_arn_75</t>
  </si>
  <si>
    <t>bas44_0089</t>
  </si>
  <si>
    <t>bas44_dmd_76</t>
  </si>
  <si>
    <t>bas44_0150</t>
  </si>
  <si>
    <t>bas44_ipi_77</t>
  </si>
  <si>
    <t>bas44_0264</t>
  </si>
  <si>
    <t>bas44_stp_78</t>
  </si>
  <si>
    <t>bas44_0099</t>
  </si>
  <si>
    <t>bas44_tifa_79</t>
  </si>
  <si>
    <t>bas44_0149</t>
  </si>
  <si>
    <t>bas45</t>
  </si>
  <si>
    <t>bas45_acb1_80</t>
  </si>
  <si>
    <t>bas45_0266</t>
  </si>
  <si>
    <t>bas45_acb2_81</t>
  </si>
  <si>
    <t>bas45_0232</t>
  </si>
  <si>
    <t>bas45_adfa_82</t>
  </si>
  <si>
    <t>bas45_0145</t>
  </si>
  <si>
    <t>bas45_alt_83</t>
  </si>
  <si>
    <t>bas45_0031</t>
  </si>
  <si>
    <t>bas45_0032</t>
  </si>
  <si>
    <t>bas45_0031,bas45_0032</t>
  </si>
  <si>
    <t>bas45_arn_84</t>
  </si>
  <si>
    <t>bas45_0086</t>
  </si>
  <si>
    <t>bas45_dmd_85</t>
  </si>
  <si>
    <t>bas45_0148</t>
  </si>
  <si>
    <t>bas45_stp_86</t>
  </si>
  <si>
    <t>bas45_0096</t>
  </si>
  <si>
    <t>bas45_tifa_87</t>
  </si>
  <si>
    <t>bas45_0147</t>
  </si>
  <si>
    <t>bas46</t>
  </si>
  <si>
    <t>bas46_acb1_109</t>
  </si>
  <si>
    <t>bas46_0250</t>
  </si>
  <si>
    <t>bas46_acb2_110</t>
  </si>
  <si>
    <t>bas46_0211</t>
  </si>
  <si>
    <t>bas46_adfa_111</t>
  </si>
  <si>
    <t>bas46_0130</t>
  </si>
  <si>
    <t>bas46_alt_112</t>
  </si>
  <si>
    <t>bas46_0032</t>
  </si>
  <si>
    <t>bas46_dmd_113</t>
  </si>
  <si>
    <t>bas46_0134</t>
  </si>
  <si>
    <t>bas46_ipi_114</t>
  </si>
  <si>
    <t>bas46_0249</t>
  </si>
  <si>
    <t>bas47</t>
  </si>
  <si>
    <t>bas47_acb1_100</t>
  </si>
  <si>
    <t>bas47_0253</t>
  </si>
  <si>
    <t>bas47_acb2_101</t>
  </si>
  <si>
    <t>bas47_0217</t>
  </si>
  <si>
    <t>bas47_adfa_102</t>
  </si>
  <si>
    <t>bas47_0134</t>
  </si>
  <si>
    <t>bas47_alt_103</t>
  </si>
  <si>
    <t>bas47_0032</t>
  </si>
  <si>
    <t>bas47_dmd_104</t>
  </si>
  <si>
    <t>bas47_0139</t>
  </si>
  <si>
    <t>bas47_ipi_105</t>
  </si>
  <si>
    <t>bas47_0252</t>
  </si>
  <si>
    <t>bas47_ipii_106</t>
  </si>
  <si>
    <t>ipii</t>
  </si>
  <si>
    <t>bas47_0222</t>
  </si>
  <si>
    <t>bas47_tifa_107</t>
  </si>
  <si>
    <t>bas47_0138</t>
  </si>
  <si>
    <t>bas60</t>
  </si>
  <si>
    <t>bas60_atd1_89</t>
  </si>
  <si>
    <t>Anti_Thoeris</t>
  </si>
  <si>
    <t>atd1</t>
  </si>
  <si>
    <t>bas60_0081</t>
  </si>
  <si>
    <t>bas60_NARP1_88</t>
  </si>
  <si>
    <t>NADP</t>
  </si>
  <si>
    <t>NARP1</t>
  </si>
  <si>
    <t>bas60_0254</t>
  </si>
  <si>
    <t>bas60_0255</t>
  </si>
  <si>
    <t>bas60_0254,bas60_0255</t>
  </si>
  <si>
    <t>narp1_adps,narp1_namat</t>
  </si>
  <si>
    <t>bas61</t>
  </si>
  <si>
    <t>bas61_atd1_91</t>
  </si>
  <si>
    <t>bas61_0079</t>
  </si>
  <si>
    <t>bas61_NARP1_90</t>
  </si>
  <si>
    <t>bas61_0254</t>
  </si>
  <si>
    <t>bas61_0255</t>
  </si>
  <si>
    <t>bas61_0254,bas61_0255</t>
  </si>
  <si>
    <t>bas62</t>
  </si>
  <si>
    <t>bas62_atd1_93</t>
  </si>
  <si>
    <t>bas62_0079</t>
  </si>
  <si>
    <t>bas62_NARP1_92</t>
  </si>
  <si>
    <t>bas62_0248</t>
  </si>
  <si>
    <t>bas62_0249</t>
  </si>
  <si>
    <t>bas62_0248,bas62_0249</t>
  </si>
  <si>
    <t>bas63</t>
  </si>
  <si>
    <t>bas63_NARP1_115</t>
  </si>
  <si>
    <t>bas63_0079</t>
  </si>
  <si>
    <t>bas63_0080</t>
  </si>
  <si>
    <t>bas63_0079,bas63_0080</t>
  </si>
  <si>
    <t>bas64</t>
  </si>
  <si>
    <t>bas64_gp4.5_130</t>
  </si>
  <si>
    <t>gp4.5</t>
  </si>
  <si>
    <t>bas64_0029</t>
  </si>
  <si>
    <t>bas64_gp5.9_131</t>
  </si>
  <si>
    <t>Anti_RecBCD</t>
  </si>
  <si>
    <t>gp5.9</t>
  </si>
  <si>
    <t>bas64_0035</t>
  </si>
  <si>
    <t>bas64_ocr_132</t>
  </si>
  <si>
    <t>ocr</t>
  </si>
  <si>
    <t>bas64_0008</t>
  </si>
  <si>
    <t>bas65</t>
  </si>
  <si>
    <t>bas65_gp4.5_133</t>
  </si>
  <si>
    <t>bas65_0029</t>
  </si>
  <si>
    <t>bas65_gp5.9_134</t>
  </si>
  <si>
    <t>bas65_0034</t>
  </si>
  <si>
    <t>bas65_ocr_135</t>
  </si>
  <si>
    <t>bas65_0007</t>
  </si>
  <si>
    <t>bas67</t>
  </si>
  <si>
    <t>bas67_gp4.5_136</t>
  </si>
  <si>
    <t>bas67_0027</t>
  </si>
  <si>
    <t>bas67_samase_137</t>
  </si>
  <si>
    <t>samase</t>
  </si>
  <si>
    <t>bas67_0008</t>
  </si>
  <si>
    <t>bas68</t>
  </si>
  <si>
    <t>bas68_gp4.5_138</t>
  </si>
  <si>
    <t>bas68_0028</t>
  </si>
  <si>
    <t>bas68_samase_139</t>
  </si>
  <si>
    <t>bas68_0008</t>
  </si>
  <si>
    <t>bas69</t>
  </si>
  <si>
    <t>bas69_tad2_acriia7_120</t>
  </si>
  <si>
    <t>tad2_acriia7</t>
  </si>
  <si>
    <t>bas69_0022</t>
  </si>
  <si>
    <t>acriia7</t>
  </si>
  <si>
    <t>Bas81_stp_1</t>
  </si>
  <si>
    <t>Bas81_0091</t>
  </si>
  <si>
    <t>Bas86_tad2_acriia7_116</t>
  </si>
  <si>
    <t>Bas86_0022</t>
  </si>
  <si>
    <t>Bas87_tad2_acriia7_117</t>
  </si>
  <si>
    <t>Bas87_0021</t>
  </si>
  <si>
    <t>Bas88_tad2_acriia7_118</t>
  </si>
  <si>
    <t>Bas88_0021</t>
  </si>
  <si>
    <t>Bas96_tad2_acriia7_119</t>
  </si>
  <si>
    <t>Bas96_0022</t>
  </si>
  <si>
    <t>Bas102_gp4.5_121</t>
  </si>
  <si>
    <t>Bas102_0028</t>
  </si>
  <si>
    <t>Bas102_gp5.9_122</t>
  </si>
  <si>
    <t>Bas102_0034</t>
  </si>
  <si>
    <t>Bas102_ocr_123</t>
  </si>
  <si>
    <t>Bas102_0006</t>
  </si>
  <si>
    <t>Bas103_gp4.5_124</t>
  </si>
  <si>
    <t>Bas103_0029</t>
  </si>
  <si>
    <t>Bas103_gp5.9_125</t>
  </si>
  <si>
    <t>Bas103_0035</t>
  </si>
  <si>
    <t>Bas103_ocr_126</t>
  </si>
  <si>
    <t>Bas103_0006</t>
  </si>
  <si>
    <t>Bas104_gp4.5_127</t>
  </si>
  <si>
    <t>Bas104_0030</t>
  </si>
  <si>
    <t>Bas104_gp5.9_128</t>
  </si>
  <si>
    <t>Bas104_0036</t>
  </si>
  <si>
    <t>Bas104_ocr_129</t>
  </si>
  <si>
    <t>Bas104_0007</t>
  </si>
  <si>
    <t>Bas105_ocr_140</t>
  </si>
  <si>
    <t>Bas105_0008</t>
  </si>
  <si>
    <t>Bas106_abc2_108</t>
  </si>
  <si>
    <t>abc2</t>
  </si>
  <si>
    <t>Bas106_0030</t>
  </si>
  <si>
    <r>
      <t xml:space="preserve">Escherichia </t>
    </r>
    <r>
      <rPr>
        <sz val="11"/>
        <color theme="1"/>
        <rFont val="Calibri"/>
        <family val="2"/>
        <scheme val="minor"/>
      </rPr>
      <t>phage lambda PaPa</t>
    </r>
  </si>
  <si>
    <r>
      <t xml:space="preserve">Escherichia </t>
    </r>
    <r>
      <rPr>
        <sz val="11"/>
        <color theme="1"/>
        <rFont val="Calibri"/>
        <family val="2"/>
        <scheme val="minor"/>
      </rPr>
      <t>phage Ur-lambda</t>
    </r>
  </si>
  <si>
    <r>
      <t xml:space="preserve">induced from </t>
    </r>
    <r>
      <rPr>
        <i/>
        <sz val="11"/>
        <color theme="1"/>
        <rFont val="Calibri"/>
        <family val="2"/>
        <scheme val="minor"/>
      </rPr>
      <t xml:space="preserve">E. coli </t>
    </r>
    <r>
      <rPr>
        <sz val="11"/>
        <color theme="1"/>
        <rFont val="Calibri"/>
        <family val="2"/>
        <scheme val="minor"/>
      </rPr>
      <t>K-12 EMG2</t>
    </r>
  </si>
  <si>
    <t>obtained from DSMZ (DSM# 4499)</t>
  </si>
  <si>
    <t>obtained from DSMZ (DSM# 16353)</t>
  </si>
  <si>
    <t>obtained from DSMZ (DSM# 16352)</t>
  </si>
  <si>
    <t>obtained from DSMZ (DSM# 4622)</t>
  </si>
  <si>
    <t>obtained from DSMZ (DSM# 4623)</t>
  </si>
  <si>
    <t>NC_001416 (PaPa wildtype)</t>
  </si>
  <si>
    <t>in CP099588</t>
  </si>
  <si>
    <r>
      <t xml:space="preserve">The original BASEL phages from our previous work (Bas01-Bas69; Maffei, Shaidullina, et al., PLoS Biology (2021)) and classical reference phages are included for completeness. Predictions of anti-defense proteins encoded by all BASEL phages (using AntiDefenseFinder of Tesson et al., Nucleic Acids Research (2025)) are included on a second sheet for a better overview. The genomes of </t>
    </r>
    <r>
      <rPr>
        <i/>
        <sz val="11"/>
        <color theme="1"/>
        <rFont val="Calibri"/>
        <family val="2"/>
        <scheme val="minor"/>
      </rPr>
      <t xml:space="preserve">Lederbergvirus </t>
    </r>
    <r>
      <rPr>
        <sz val="11"/>
        <color theme="1"/>
        <rFont val="Calibri"/>
        <family val="2"/>
        <scheme val="minor"/>
      </rPr>
      <t>phages Huey, Dewey, and Louie are available in NCBI GenBank with accession numbers PQ850600, PQ850609, and PQ850616.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</si>
</sst>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6"/>
      <color theme="1"/>
      <name val="Times New Roman"/>
      <family val="1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3" fillId="4" borderId="0" applyNumberFormat="0" applyBorder="0" applyAlignment="0" applyProtection="0"/>
  </cellStyleXfs>
  <cellXfs count="149">
    <xf numFmtId="0" fontId="0" fillId="0" borderId="0" xfId="0"/>
    <xf numFmtId="0" fontId="6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1" xfId="0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0" fillId="0" borderId="1" xfId="0" applyNumberFormat="1" applyBorder="1"/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/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/>
    </xf>
    <xf numFmtId="0" fontId="0" fillId="0" borderId="8" xfId="0" applyBorder="1"/>
    <xf numFmtId="0" fontId="0" fillId="0" borderId="1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/>
    <xf numFmtId="0" fontId="4" fillId="0" borderId="14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164" fontId="0" fillId="0" borderId="14" xfId="0" applyNumberFormat="1" applyBorder="1"/>
    <xf numFmtId="0" fontId="0" fillId="0" borderId="15" xfId="0" applyBorder="1"/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9" fillId="0" borderId="1" xfId="0" applyFont="1" applyBorder="1" applyAlignment="1">
      <alignment vertical="center" wrapText="1"/>
    </xf>
    <xf numFmtId="0" fontId="10" fillId="0" borderId="0" xfId="0" applyFont="1"/>
    <xf numFmtId="10" fontId="0" fillId="0" borderId="1" xfId="0" applyNumberForma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4" fillId="0" borderId="17" xfId="0" applyFont="1" applyBorder="1"/>
    <xf numFmtId="0" fontId="4" fillId="0" borderId="19" xfId="0" applyFont="1" applyBorder="1"/>
    <xf numFmtId="0" fontId="4" fillId="0" borderId="18" xfId="0" applyFont="1" applyBorder="1"/>
    <xf numFmtId="0" fontId="4" fillId="0" borderId="16" xfId="0" applyFont="1" applyBorder="1"/>
    <xf numFmtId="0" fontId="4" fillId="0" borderId="20" xfId="0" applyFont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7" xfId="0" applyFont="1" applyFill="1" applyBorder="1"/>
    <xf numFmtId="0" fontId="0" fillId="0" borderId="11" xfId="0" applyBorder="1"/>
    <xf numFmtId="10" fontId="0" fillId="0" borderId="14" xfId="0" applyNumberFormat="1" applyBorder="1" applyAlignment="1">
      <alignment horizontal="left" vertical="center" wrapText="1"/>
    </xf>
    <xf numFmtId="0" fontId="4" fillId="0" borderId="14" xfId="1" applyFont="1" applyBorder="1" applyAlignment="1">
      <alignment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2" xfId="0" applyBorder="1"/>
    <xf numFmtId="0" fontId="0" fillId="0" borderId="1" xfId="0" applyBorder="1" applyAlignment="1">
      <alignment horizontal="center"/>
    </xf>
    <xf numFmtId="0" fontId="4" fillId="0" borderId="10" xfId="0" applyFont="1" applyBorder="1" applyAlignment="1">
      <alignment vertical="center" wrapText="1"/>
    </xf>
    <xf numFmtId="0" fontId="4" fillId="0" borderId="1" xfId="0" applyFont="1" applyBorder="1"/>
    <xf numFmtId="10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/>
    <xf numFmtId="0" fontId="4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vertical="center" wrapText="1"/>
    </xf>
    <xf numFmtId="0" fontId="0" fillId="0" borderId="23" xfId="0" applyBorder="1"/>
    <xf numFmtId="0" fontId="2" fillId="0" borderId="23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164" fontId="0" fillId="0" borderId="23" xfId="0" applyNumberFormat="1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4" fillId="0" borderId="11" xfId="0" applyFont="1" applyBorder="1"/>
    <xf numFmtId="0" fontId="4" fillId="0" borderId="14" xfId="0" applyFont="1" applyBorder="1" applyAlignment="1">
      <alignment horizontal="left" vertical="center" wrapText="1"/>
    </xf>
    <xf numFmtId="0" fontId="12" fillId="0" borderId="14" xfId="2" applyFont="1" applyFill="1" applyBorder="1" applyAlignment="1">
      <alignment vertical="center" wrapText="1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vertical="center" wrapText="1"/>
    </xf>
    <xf numFmtId="0" fontId="0" fillId="0" borderId="21" xfId="0" applyBorder="1"/>
    <xf numFmtId="10" fontId="0" fillId="0" borderId="21" xfId="0" applyNumberFormat="1" applyBorder="1" applyAlignment="1">
      <alignment horizontal="left"/>
    </xf>
    <xf numFmtId="0" fontId="2" fillId="0" borderId="21" xfId="0" applyFont="1" applyBorder="1"/>
    <xf numFmtId="0" fontId="0" fillId="0" borderId="21" xfId="0" applyBorder="1" applyAlignment="1">
      <alignment vertical="center" wrapText="1"/>
    </xf>
    <xf numFmtId="0" fontId="4" fillId="0" borderId="21" xfId="1" applyFont="1" applyBorder="1" applyAlignment="1">
      <alignment vertical="center" wrapText="1"/>
    </xf>
    <xf numFmtId="164" fontId="0" fillId="0" borderId="21" xfId="0" applyNumberFormat="1" applyBorder="1"/>
    <xf numFmtId="0" fontId="2" fillId="2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2" fillId="0" borderId="1" xfId="2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0" fillId="0" borderId="26" xfId="0" applyBorder="1" applyAlignment="1">
      <alignment horizontal="center"/>
    </xf>
    <xf numFmtId="0" fontId="4" fillId="0" borderId="23" xfId="0" applyFont="1" applyBorder="1" applyAlignment="1">
      <alignment horizontal="left" vertical="center" wrapText="1"/>
    </xf>
    <xf numFmtId="0" fontId="2" fillId="2" borderId="23" xfId="0" applyFont="1" applyFill="1" applyBorder="1" applyAlignment="1">
      <alignment vertical="center" wrapText="1"/>
    </xf>
    <xf numFmtId="0" fontId="12" fillId="0" borderId="23" xfId="2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vertical="center" wrapText="1"/>
    </xf>
    <xf numFmtId="0" fontId="0" fillId="0" borderId="28" xfId="0" applyBorder="1"/>
    <xf numFmtId="0" fontId="0" fillId="0" borderId="28" xfId="0" applyBorder="1" applyAlignment="1">
      <alignment vertical="center" wrapText="1"/>
    </xf>
    <xf numFmtId="10" fontId="0" fillId="0" borderId="28" xfId="0" applyNumberFormat="1" applyBorder="1" applyAlignment="1">
      <alignment horizontal="left" vertical="center" wrapText="1"/>
    </xf>
    <xf numFmtId="0" fontId="2" fillId="0" borderId="28" xfId="0" applyFont="1" applyBorder="1" applyAlignment="1">
      <alignment vertical="center" wrapText="1"/>
    </xf>
    <xf numFmtId="0" fontId="4" fillId="0" borderId="29" xfId="0" applyFont="1" applyBorder="1"/>
    <xf numFmtId="0" fontId="4" fillId="0" borderId="28" xfId="1" applyFont="1" applyBorder="1" applyAlignment="1">
      <alignment vertical="center" wrapText="1"/>
    </xf>
    <xf numFmtId="0" fontId="0" fillId="2" borderId="28" xfId="0" applyFill="1" applyBorder="1" applyAlignment="1">
      <alignment horizontal="center" vertical="center" wrapText="1"/>
    </xf>
    <xf numFmtId="164" fontId="0" fillId="0" borderId="28" xfId="0" applyNumberFormat="1" applyBorder="1"/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0" xfId="0" applyBorder="1"/>
    <xf numFmtId="0" fontId="1" fillId="3" borderId="7" xfId="0" applyFont="1" applyFill="1" applyBorder="1" applyAlignment="1">
      <alignment horizontal="center" vertical="center" wrapText="1"/>
    </xf>
    <xf numFmtId="2" fontId="0" fillId="0" borderId="31" xfId="0" applyNumberFormat="1" applyBorder="1" applyAlignment="1">
      <alignment horizontal="left" vertical="center" wrapText="1"/>
    </xf>
    <xf numFmtId="2" fontId="0" fillId="0" borderId="11" xfId="0" applyNumberForma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1" xfId="0" applyFont="1" applyFill="1" applyBorder="1"/>
    <xf numFmtId="0" fontId="0" fillId="2" borderId="11" xfId="0" applyFill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2" borderId="11" xfId="0" applyFont="1" applyFill="1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" fillId="2" borderId="12" xfId="0" applyFont="1" applyFill="1" applyBorder="1"/>
    <xf numFmtId="0" fontId="4" fillId="0" borderId="31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0" fillId="0" borderId="10" xfId="0" applyBorder="1"/>
    <xf numFmtId="0" fontId="4" fillId="0" borderId="30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1" fillId="3" borderId="32" xfId="0" applyFont="1" applyFill="1" applyBorder="1"/>
    <xf numFmtId="0" fontId="0" fillId="0" borderId="31" xfId="0" applyBorder="1"/>
    <xf numFmtId="0" fontId="4" fillId="0" borderId="10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0" fillId="0" borderId="31" xfId="0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3" borderId="5" xfId="0" applyFont="1" applyFill="1" applyBorder="1"/>
    <xf numFmtId="0" fontId="0" fillId="0" borderId="9" xfId="0" applyBorder="1"/>
    <xf numFmtId="0" fontId="4" fillId="0" borderId="10" xfId="0" applyFont="1" applyBorder="1"/>
    <xf numFmtId="0" fontId="0" fillId="0" borderId="27" xfId="0" applyBorder="1"/>
    <xf numFmtId="0" fontId="0" fillId="0" borderId="13" xfId="0" applyBorder="1"/>
    <xf numFmtId="0" fontId="12" fillId="0" borderId="25" xfId="2" applyFont="1" applyFill="1" applyBorder="1" applyAlignment="1">
      <alignment vertical="center" wrapText="1"/>
    </xf>
    <xf numFmtId="0" fontId="12" fillId="0" borderId="11" xfId="2" applyFont="1" applyFill="1" applyBorder="1" applyAlignment="1">
      <alignment vertical="center" wrapText="1"/>
    </xf>
    <xf numFmtId="0" fontId="0" fillId="0" borderId="12" xfId="2" applyFont="1" applyFill="1" applyBorder="1" applyAlignment="1">
      <alignment vertical="center" wrapText="1"/>
    </xf>
    <xf numFmtId="0" fontId="1" fillId="0" borderId="33" xfId="0" applyFont="1" applyBorder="1" applyAlignment="1">
      <alignment horizontal="left"/>
    </xf>
    <xf numFmtId="0" fontId="1" fillId="0" borderId="33" xfId="0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11" xfId="2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125"/>
  <sheetViews>
    <sheetView tabSelected="1" topLeftCell="A106" zoomScale="55" zoomScaleNormal="55" workbookViewId="0">
      <selection activeCell="J133" sqref="J133"/>
    </sheetView>
  </sheetViews>
  <sheetFormatPr defaultRowHeight="14.4"/>
  <cols>
    <col min="2" max="2" width="14.41796875" customWidth="1"/>
    <col min="3" max="3" width="38.83984375" customWidth="1"/>
    <col min="4" max="4" width="9.26171875" customWidth="1"/>
    <col min="5" max="5" width="10" customWidth="1"/>
    <col min="6" max="6" width="18.83984375" customWidth="1"/>
    <col min="7" max="7" width="44.578125" customWidth="1"/>
    <col min="8" max="8" width="22.41796875" bestFit="1" customWidth="1"/>
    <col min="9" max="9" width="25.41796875" bestFit="1" customWidth="1"/>
    <col min="10" max="10" width="41.15625" style="1" bestFit="1" customWidth="1"/>
    <col min="11" max="11" width="41.15625" bestFit="1" customWidth="1"/>
    <col min="12" max="12" width="29.68359375" customWidth="1"/>
    <col min="13" max="13" width="24.15625" bestFit="1" customWidth="1"/>
    <col min="14" max="14" width="48" bestFit="1" customWidth="1"/>
    <col min="15" max="15" width="23.47265625" bestFit="1" customWidth="1"/>
    <col min="16" max="16" width="22.68359375" bestFit="1" customWidth="1"/>
    <col min="17" max="17" width="18" customWidth="1"/>
    <col min="18" max="18" width="10" bestFit="1" customWidth="1"/>
    <col min="23" max="23" width="22" bestFit="1" customWidth="1"/>
    <col min="24" max="24" width="21.15625" bestFit="1" customWidth="1"/>
    <col min="30" max="30" width="10.68359375" bestFit="1" customWidth="1"/>
  </cols>
  <sheetData>
    <row r="2" spans="1:30">
      <c r="H2" s="1"/>
    </row>
    <row r="3" spans="1:30" ht="19.8">
      <c r="B3" s="29" t="s">
        <v>704</v>
      </c>
      <c r="H3" s="1"/>
    </row>
    <row r="4" spans="1:30">
      <c r="B4" t="s">
        <v>1095</v>
      </c>
      <c r="H4" s="1"/>
    </row>
    <row r="5" spans="1:30" ht="14.7" thickBot="1">
      <c r="H5" s="1"/>
    </row>
    <row r="6" spans="1:30" ht="20.7" thickBot="1">
      <c r="A6" s="143" t="s">
        <v>23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 t="s">
        <v>24</v>
      </c>
      <c r="M6" s="144"/>
      <c r="N6" s="145"/>
      <c r="O6" s="143" t="s">
        <v>25</v>
      </c>
      <c r="P6" s="144"/>
      <c r="Q6" s="144"/>
      <c r="R6" s="144"/>
      <c r="S6" s="144"/>
      <c r="T6" s="144"/>
      <c r="U6" s="144"/>
      <c r="V6" s="145"/>
      <c r="W6" s="143" t="s">
        <v>205</v>
      </c>
      <c r="X6" s="148"/>
      <c r="Y6" s="143" t="s">
        <v>26</v>
      </c>
      <c r="Z6" s="146"/>
      <c r="AA6" s="146"/>
      <c r="AB6" s="146"/>
      <c r="AC6" s="146"/>
      <c r="AD6" s="147"/>
    </row>
    <row r="7" spans="1:30" ht="14.5" customHeight="1" thickBot="1">
      <c r="A7" s="9" t="s">
        <v>20</v>
      </c>
      <c r="B7" s="10" t="s">
        <v>0</v>
      </c>
      <c r="C7" s="11" t="s">
        <v>29</v>
      </c>
      <c r="D7" s="11" t="s">
        <v>7</v>
      </c>
      <c r="E7" s="11" t="s">
        <v>8</v>
      </c>
      <c r="F7" s="97" t="s">
        <v>6</v>
      </c>
      <c r="G7" s="9" t="s">
        <v>152</v>
      </c>
      <c r="H7" s="11" t="s">
        <v>148</v>
      </c>
      <c r="I7" s="11" t="s">
        <v>9</v>
      </c>
      <c r="J7" s="12" t="s">
        <v>10</v>
      </c>
      <c r="K7" s="97" t="s">
        <v>204</v>
      </c>
      <c r="L7" s="11" t="s">
        <v>67</v>
      </c>
      <c r="M7" s="11" t="s">
        <v>11</v>
      </c>
      <c r="N7" s="97" t="s">
        <v>168</v>
      </c>
      <c r="O7" s="122" t="s">
        <v>30</v>
      </c>
      <c r="P7" s="10" t="s">
        <v>2</v>
      </c>
      <c r="Q7" s="10" t="s">
        <v>7</v>
      </c>
      <c r="R7" s="10" t="s">
        <v>5</v>
      </c>
      <c r="S7" s="12" t="s">
        <v>3</v>
      </c>
      <c r="T7" s="12" t="s">
        <v>4</v>
      </c>
      <c r="U7" s="12" t="s">
        <v>22</v>
      </c>
      <c r="V7" s="23" t="s">
        <v>21</v>
      </c>
      <c r="W7" s="22" t="s">
        <v>27</v>
      </c>
      <c r="X7" s="23" t="s">
        <v>28</v>
      </c>
      <c r="Y7" s="129" t="s">
        <v>14</v>
      </c>
      <c r="Z7" s="10" t="s">
        <v>15</v>
      </c>
      <c r="AA7" s="10" t="s">
        <v>16</v>
      </c>
      <c r="AB7" s="10" t="s">
        <v>17</v>
      </c>
      <c r="AC7" s="10" t="s">
        <v>18</v>
      </c>
      <c r="AD7" s="39" t="s">
        <v>19</v>
      </c>
    </row>
    <row r="8" spans="1:30" ht="14.5" customHeight="1">
      <c r="A8" s="68" t="s">
        <v>277</v>
      </c>
      <c r="B8" s="69" t="s">
        <v>1</v>
      </c>
      <c r="C8" s="69" t="s">
        <v>278</v>
      </c>
      <c r="D8" s="70">
        <v>0.73</v>
      </c>
      <c r="E8" s="70">
        <v>0.86990000000000001</v>
      </c>
      <c r="F8" s="98">
        <f t="shared" ref="F8:F71" si="0">100*(D8*E8)</f>
        <v>63.502700000000004</v>
      </c>
      <c r="G8" s="104" t="s">
        <v>267</v>
      </c>
      <c r="H8" s="71" t="s">
        <v>659</v>
      </c>
      <c r="I8" s="71" t="s">
        <v>279</v>
      </c>
      <c r="J8" s="72" t="s">
        <v>145</v>
      </c>
      <c r="K8" s="105" t="s">
        <v>280</v>
      </c>
      <c r="L8" s="73" t="s">
        <v>225</v>
      </c>
      <c r="M8" s="73" t="s">
        <v>281</v>
      </c>
      <c r="N8" s="117" t="s">
        <v>92</v>
      </c>
      <c r="O8" s="119" t="s">
        <v>282</v>
      </c>
      <c r="P8" s="69">
        <v>50126</v>
      </c>
      <c r="Q8" s="69" t="s">
        <v>283</v>
      </c>
      <c r="R8" s="74">
        <v>0.44800000000000001</v>
      </c>
      <c r="S8" s="54">
        <v>78</v>
      </c>
      <c r="T8" s="54">
        <v>1</v>
      </c>
      <c r="U8" s="54">
        <v>0</v>
      </c>
      <c r="V8" s="127">
        <v>0</v>
      </c>
      <c r="W8" s="24" t="s">
        <v>284</v>
      </c>
      <c r="X8" s="127" t="s">
        <v>207</v>
      </c>
      <c r="Y8" s="130">
        <v>3</v>
      </c>
      <c r="Z8" s="69">
        <v>6</v>
      </c>
      <c r="AA8" s="69">
        <v>16</v>
      </c>
      <c r="AB8" s="69">
        <v>38</v>
      </c>
      <c r="AC8" s="69">
        <v>51</v>
      </c>
      <c r="AD8" s="123">
        <v>68</v>
      </c>
    </row>
    <row r="9" spans="1:30" ht="14.5" customHeight="1">
      <c r="A9" s="14" t="s">
        <v>285</v>
      </c>
      <c r="B9" s="2" t="s">
        <v>1</v>
      </c>
      <c r="C9" s="2" t="s">
        <v>286</v>
      </c>
      <c r="D9" s="30">
        <v>0.77</v>
      </c>
      <c r="E9" s="30">
        <v>0.87080000000000002</v>
      </c>
      <c r="F9" s="99">
        <f t="shared" si="0"/>
        <v>67.051599999999993</v>
      </c>
      <c r="G9" s="106" t="s">
        <v>267</v>
      </c>
      <c r="H9" s="4" t="s">
        <v>659</v>
      </c>
      <c r="I9" s="4" t="s">
        <v>287</v>
      </c>
      <c r="J9" s="5" t="s">
        <v>145</v>
      </c>
      <c r="K9" s="107" t="s">
        <v>288</v>
      </c>
      <c r="L9" s="6" t="s">
        <v>225</v>
      </c>
      <c r="M9" s="6" t="s">
        <v>289</v>
      </c>
      <c r="N9" s="118" t="s">
        <v>92</v>
      </c>
      <c r="O9" s="119" t="s">
        <v>290</v>
      </c>
      <c r="P9" s="2">
        <v>47149</v>
      </c>
      <c r="Q9" s="2" t="s">
        <v>291</v>
      </c>
      <c r="R9" s="8">
        <v>0.44500000000000001</v>
      </c>
      <c r="S9" s="46">
        <v>83</v>
      </c>
      <c r="T9" s="46">
        <v>1</v>
      </c>
      <c r="U9" s="46">
        <v>0</v>
      </c>
      <c r="V9" s="26">
        <v>0</v>
      </c>
      <c r="W9" s="24" t="s">
        <v>284</v>
      </c>
      <c r="X9" s="26" t="s">
        <v>207</v>
      </c>
      <c r="Y9" s="119">
        <v>7</v>
      </c>
      <c r="Z9" s="2">
        <v>7</v>
      </c>
      <c r="AA9" s="2">
        <v>44</v>
      </c>
      <c r="AB9" s="2">
        <v>32</v>
      </c>
      <c r="AC9" s="2">
        <v>58</v>
      </c>
      <c r="AD9" s="40">
        <v>49</v>
      </c>
    </row>
    <row r="10" spans="1:30" ht="14.5" customHeight="1">
      <c r="A10" s="14" t="s">
        <v>292</v>
      </c>
      <c r="B10" s="2" t="s">
        <v>1</v>
      </c>
      <c r="C10" s="2" t="s">
        <v>286</v>
      </c>
      <c r="D10" s="30">
        <v>0.74</v>
      </c>
      <c r="E10" s="30">
        <v>0.87439999999999996</v>
      </c>
      <c r="F10" s="99">
        <f t="shared" si="0"/>
        <v>64.70559999999999</v>
      </c>
      <c r="G10" s="106" t="s">
        <v>267</v>
      </c>
      <c r="H10" s="4" t="s">
        <v>659</v>
      </c>
      <c r="I10" s="4" t="s">
        <v>287</v>
      </c>
      <c r="J10" s="5" t="s">
        <v>145</v>
      </c>
      <c r="K10" s="107" t="s">
        <v>293</v>
      </c>
      <c r="L10" s="6" t="s">
        <v>12</v>
      </c>
      <c r="M10" s="6" t="s">
        <v>13</v>
      </c>
      <c r="N10" s="118" t="s">
        <v>294</v>
      </c>
      <c r="O10" s="119" t="s">
        <v>295</v>
      </c>
      <c r="P10" s="2">
        <v>47731</v>
      </c>
      <c r="Q10" s="2" t="s">
        <v>126</v>
      </c>
      <c r="R10" s="8">
        <v>0.44700000000000001</v>
      </c>
      <c r="S10" s="46">
        <v>89</v>
      </c>
      <c r="T10" s="46">
        <v>1</v>
      </c>
      <c r="U10" s="46">
        <v>0</v>
      </c>
      <c r="V10" s="26">
        <v>0</v>
      </c>
      <c r="W10" s="24" t="s">
        <v>284</v>
      </c>
      <c r="X10" s="26" t="s">
        <v>214</v>
      </c>
      <c r="Y10" s="119">
        <v>1</v>
      </c>
      <c r="Z10" s="2">
        <v>5</v>
      </c>
      <c r="AA10" s="2">
        <v>38</v>
      </c>
      <c r="AB10" s="2">
        <v>46</v>
      </c>
      <c r="AC10" s="2">
        <v>54</v>
      </c>
      <c r="AD10" s="40">
        <v>53</v>
      </c>
    </row>
    <row r="11" spans="1:30" ht="14.5" customHeight="1">
      <c r="A11" s="14" t="s">
        <v>296</v>
      </c>
      <c r="B11" s="2" t="s">
        <v>1</v>
      </c>
      <c r="C11" s="5" t="s">
        <v>297</v>
      </c>
      <c r="D11" s="30">
        <v>0.97</v>
      </c>
      <c r="E11" s="30">
        <v>0.98180000000000001</v>
      </c>
      <c r="F11" s="100">
        <f t="shared" si="0"/>
        <v>95.2346</v>
      </c>
      <c r="G11" s="106" t="s">
        <v>267</v>
      </c>
      <c r="H11" s="76" t="s">
        <v>257</v>
      </c>
      <c r="I11" s="76" t="s">
        <v>298</v>
      </c>
      <c r="J11" s="5" t="s">
        <v>299</v>
      </c>
      <c r="K11" s="108" t="s">
        <v>300</v>
      </c>
      <c r="L11" s="6" t="s">
        <v>12</v>
      </c>
      <c r="M11" s="6" t="s">
        <v>13</v>
      </c>
      <c r="N11" s="118" t="s">
        <v>301</v>
      </c>
      <c r="O11" s="119" t="s">
        <v>302</v>
      </c>
      <c r="P11" s="2">
        <v>51777</v>
      </c>
      <c r="Q11" s="2" t="s">
        <v>303</v>
      </c>
      <c r="R11" s="8">
        <v>0.44800000000000001</v>
      </c>
      <c r="S11" s="46">
        <v>91</v>
      </c>
      <c r="T11" s="46">
        <v>0</v>
      </c>
      <c r="U11" s="46">
        <v>0</v>
      </c>
      <c r="V11" s="26">
        <v>0</v>
      </c>
      <c r="W11" s="24" t="s">
        <v>284</v>
      </c>
      <c r="X11" s="26" t="s">
        <v>222</v>
      </c>
      <c r="Y11" s="119">
        <v>0</v>
      </c>
      <c r="Z11" s="2">
        <v>0</v>
      </c>
      <c r="AA11" s="2">
        <v>8</v>
      </c>
      <c r="AB11" s="2">
        <v>0</v>
      </c>
      <c r="AC11" s="2">
        <v>52</v>
      </c>
      <c r="AD11" s="40">
        <v>28</v>
      </c>
    </row>
    <row r="12" spans="1:30" ht="14.5" customHeight="1">
      <c r="A12" s="14" t="s">
        <v>304</v>
      </c>
      <c r="B12" s="2" t="s">
        <v>1</v>
      </c>
      <c r="C12" s="5" t="s">
        <v>305</v>
      </c>
      <c r="D12" s="30">
        <v>0.9</v>
      </c>
      <c r="E12" s="30">
        <v>0.95640000000000003</v>
      </c>
      <c r="F12" s="100">
        <f t="shared" si="0"/>
        <v>86.076000000000008</v>
      </c>
      <c r="G12" s="106" t="s">
        <v>267</v>
      </c>
      <c r="H12" s="76" t="s">
        <v>257</v>
      </c>
      <c r="I12" s="76" t="s">
        <v>298</v>
      </c>
      <c r="J12" s="5" t="s">
        <v>145</v>
      </c>
      <c r="K12" s="107" t="s">
        <v>306</v>
      </c>
      <c r="L12" s="6" t="s">
        <v>12</v>
      </c>
      <c r="M12" s="6" t="s">
        <v>91</v>
      </c>
      <c r="N12" s="118" t="s">
        <v>307</v>
      </c>
      <c r="O12" s="119" t="s">
        <v>308</v>
      </c>
      <c r="P12" s="2">
        <v>47775</v>
      </c>
      <c r="Q12" s="2" t="s">
        <v>309</v>
      </c>
      <c r="R12" s="8">
        <v>0.44700000000000001</v>
      </c>
      <c r="S12" s="46">
        <v>80</v>
      </c>
      <c r="T12" s="46">
        <v>0</v>
      </c>
      <c r="U12" s="46">
        <v>0</v>
      </c>
      <c r="V12" s="26">
        <v>0</v>
      </c>
      <c r="W12" s="24" t="s">
        <v>284</v>
      </c>
      <c r="X12" s="26" t="s">
        <v>214</v>
      </c>
      <c r="Y12" s="119">
        <v>0</v>
      </c>
      <c r="Z12" s="2">
        <v>1</v>
      </c>
      <c r="AA12" s="2">
        <v>2</v>
      </c>
      <c r="AB12" s="2">
        <v>0</v>
      </c>
      <c r="AC12" s="2">
        <v>43</v>
      </c>
      <c r="AD12" s="40">
        <v>20</v>
      </c>
    </row>
    <row r="13" spans="1:30" ht="14.5" customHeight="1">
      <c r="A13" s="14" t="s">
        <v>310</v>
      </c>
      <c r="B13" s="2" t="s">
        <v>1</v>
      </c>
      <c r="C13" s="5" t="s">
        <v>311</v>
      </c>
      <c r="D13" s="30">
        <v>0.91</v>
      </c>
      <c r="E13" s="30">
        <v>0.95589999999999997</v>
      </c>
      <c r="F13" s="100">
        <f t="shared" si="0"/>
        <v>86.986900000000006</v>
      </c>
      <c r="G13" s="106" t="s">
        <v>267</v>
      </c>
      <c r="H13" s="76" t="s">
        <v>257</v>
      </c>
      <c r="I13" s="76" t="s">
        <v>210</v>
      </c>
      <c r="J13" s="5" t="s">
        <v>145</v>
      </c>
      <c r="K13" s="107" t="s">
        <v>312</v>
      </c>
      <c r="L13" s="6" t="s">
        <v>12</v>
      </c>
      <c r="M13" s="6" t="s">
        <v>13</v>
      </c>
      <c r="N13" s="118" t="s">
        <v>313</v>
      </c>
      <c r="O13" s="119" t="s">
        <v>314</v>
      </c>
      <c r="P13" s="2">
        <v>51474</v>
      </c>
      <c r="Q13" s="2" t="s">
        <v>134</v>
      </c>
      <c r="R13" s="8">
        <v>0.44</v>
      </c>
      <c r="S13" s="46">
        <v>89</v>
      </c>
      <c r="T13" s="46">
        <v>0</v>
      </c>
      <c r="U13" s="46">
        <v>0</v>
      </c>
      <c r="V13" s="26">
        <v>0</v>
      </c>
      <c r="W13" s="24" t="s">
        <v>284</v>
      </c>
      <c r="X13" s="26" t="s">
        <v>222</v>
      </c>
      <c r="Y13" s="119">
        <v>0</v>
      </c>
      <c r="Z13" s="2">
        <v>1</v>
      </c>
      <c r="AA13" s="2">
        <v>0</v>
      </c>
      <c r="AB13" s="2">
        <v>2</v>
      </c>
      <c r="AC13" s="2">
        <v>40</v>
      </c>
      <c r="AD13" s="40">
        <v>42</v>
      </c>
    </row>
    <row r="14" spans="1:30" ht="14.5" customHeight="1">
      <c r="A14" s="14" t="s">
        <v>208</v>
      </c>
      <c r="B14" s="2" t="s">
        <v>1</v>
      </c>
      <c r="C14" s="5" t="s">
        <v>209</v>
      </c>
      <c r="D14" s="30">
        <v>0.94</v>
      </c>
      <c r="E14" s="30">
        <v>0.96319999999999995</v>
      </c>
      <c r="F14" s="100">
        <f t="shared" si="0"/>
        <v>90.54079999999999</v>
      </c>
      <c r="G14" s="106" t="s">
        <v>267</v>
      </c>
      <c r="H14" s="76" t="s">
        <v>257</v>
      </c>
      <c r="I14" s="76" t="s">
        <v>210</v>
      </c>
      <c r="J14" s="5" t="s">
        <v>145</v>
      </c>
      <c r="K14" s="107" t="s">
        <v>262</v>
      </c>
      <c r="L14" s="6" t="s">
        <v>12</v>
      </c>
      <c r="M14" s="6" t="s">
        <v>13</v>
      </c>
      <c r="N14" s="118" t="s">
        <v>211</v>
      </c>
      <c r="O14" s="119" t="s">
        <v>212</v>
      </c>
      <c r="P14" s="2">
        <v>51129</v>
      </c>
      <c r="Q14" s="2" t="s">
        <v>213</v>
      </c>
      <c r="R14" s="8">
        <v>0.439</v>
      </c>
      <c r="S14" s="46">
        <v>91</v>
      </c>
      <c r="T14" s="46">
        <v>0</v>
      </c>
      <c r="U14" s="46">
        <v>0</v>
      </c>
      <c r="V14" s="26">
        <v>0</v>
      </c>
      <c r="W14" s="24" t="s">
        <v>206</v>
      </c>
      <c r="X14" s="26" t="s">
        <v>214</v>
      </c>
      <c r="Y14" s="119">
        <v>0</v>
      </c>
      <c r="Z14" s="2">
        <v>0</v>
      </c>
      <c r="AA14" s="2">
        <v>1</v>
      </c>
      <c r="AB14" s="2">
        <v>0</v>
      </c>
      <c r="AC14" s="2">
        <v>45</v>
      </c>
      <c r="AD14" s="40">
        <v>34</v>
      </c>
    </row>
    <row r="15" spans="1:30" ht="14.5" customHeight="1">
      <c r="A15" s="14" t="s">
        <v>315</v>
      </c>
      <c r="B15" s="2" t="s">
        <v>1</v>
      </c>
      <c r="C15" s="5" t="s">
        <v>316</v>
      </c>
      <c r="D15" s="30">
        <v>0.9</v>
      </c>
      <c r="E15" s="30">
        <v>0.96960000000000002</v>
      </c>
      <c r="F15" s="100">
        <f t="shared" si="0"/>
        <v>87.26400000000001</v>
      </c>
      <c r="G15" s="106" t="s">
        <v>267</v>
      </c>
      <c r="H15" s="3" t="s">
        <v>257</v>
      </c>
      <c r="I15" s="3" t="s">
        <v>317</v>
      </c>
      <c r="J15" s="5" t="s">
        <v>145</v>
      </c>
      <c r="K15" s="107" t="s">
        <v>318</v>
      </c>
      <c r="L15" s="6" t="s">
        <v>12</v>
      </c>
      <c r="M15" s="6" t="s">
        <v>13</v>
      </c>
      <c r="N15" s="118" t="s">
        <v>219</v>
      </c>
      <c r="O15" s="119" t="s">
        <v>319</v>
      </c>
      <c r="P15" s="2">
        <v>50731</v>
      </c>
      <c r="Q15" s="2" t="s">
        <v>135</v>
      </c>
      <c r="R15" s="8">
        <v>0.432</v>
      </c>
      <c r="S15" s="46">
        <v>91</v>
      </c>
      <c r="T15" s="46">
        <v>0</v>
      </c>
      <c r="U15" s="46">
        <v>0</v>
      </c>
      <c r="V15" s="26">
        <v>0</v>
      </c>
      <c r="W15" s="24" t="s">
        <v>284</v>
      </c>
      <c r="X15" s="26" t="s">
        <v>320</v>
      </c>
      <c r="Y15" s="119">
        <v>1</v>
      </c>
      <c r="Z15" s="2">
        <v>1</v>
      </c>
      <c r="AA15" s="2">
        <v>56</v>
      </c>
      <c r="AB15" s="2">
        <v>44</v>
      </c>
      <c r="AC15" s="2">
        <v>54</v>
      </c>
      <c r="AD15" s="40">
        <v>40</v>
      </c>
    </row>
    <row r="16" spans="1:30" ht="14.5" customHeight="1">
      <c r="A16" s="14" t="s">
        <v>321</v>
      </c>
      <c r="B16" s="2" t="s">
        <v>1</v>
      </c>
      <c r="C16" s="5" t="s">
        <v>322</v>
      </c>
      <c r="D16" s="30">
        <v>0.9</v>
      </c>
      <c r="E16" s="30">
        <v>0.98229999999999995</v>
      </c>
      <c r="F16" s="100">
        <f t="shared" si="0"/>
        <v>88.406999999999996</v>
      </c>
      <c r="G16" s="106" t="s">
        <v>267</v>
      </c>
      <c r="H16" s="76" t="s">
        <v>257</v>
      </c>
      <c r="I16" s="76" t="s">
        <v>323</v>
      </c>
      <c r="J16" s="5" t="s">
        <v>145</v>
      </c>
      <c r="K16" s="108" t="s">
        <v>324</v>
      </c>
      <c r="L16" s="6" t="s">
        <v>12</v>
      </c>
      <c r="M16" s="6" t="s">
        <v>13</v>
      </c>
      <c r="N16" s="118" t="s">
        <v>325</v>
      </c>
      <c r="O16" s="119" t="s">
        <v>326</v>
      </c>
      <c r="P16" s="2">
        <v>51285</v>
      </c>
      <c r="Q16" s="2" t="s">
        <v>327</v>
      </c>
      <c r="R16" s="8">
        <v>0.46400000000000002</v>
      </c>
      <c r="S16" s="46">
        <v>90</v>
      </c>
      <c r="T16" s="46">
        <v>0</v>
      </c>
      <c r="U16" s="46">
        <v>0</v>
      </c>
      <c r="V16" s="26">
        <v>0</v>
      </c>
      <c r="W16" s="24" t="s">
        <v>284</v>
      </c>
      <c r="X16" s="26" t="s">
        <v>214</v>
      </c>
      <c r="Y16" s="119">
        <v>1</v>
      </c>
      <c r="Z16" s="2">
        <v>1</v>
      </c>
      <c r="AA16" s="2">
        <v>38</v>
      </c>
      <c r="AB16" s="2">
        <v>24</v>
      </c>
      <c r="AC16" s="2">
        <v>53</v>
      </c>
      <c r="AD16" s="40">
        <v>39</v>
      </c>
    </row>
    <row r="17" spans="1:30" ht="14.5" customHeight="1">
      <c r="A17" s="14" t="s">
        <v>328</v>
      </c>
      <c r="B17" s="2" t="s">
        <v>1</v>
      </c>
      <c r="C17" s="5" t="s">
        <v>329</v>
      </c>
      <c r="D17" s="30">
        <v>0.92</v>
      </c>
      <c r="E17" s="30">
        <v>0.9466</v>
      </c>
      <c r="F17" s="100">
        <f t="shared" si="0"/>
        <v>87.08720000000001</v>
      </c>
      <c r="G17" s="106" t="s">
        <v>267</v>
      </c>
      <c r="H17" s="3" t="s">
        <v>257</v>
      </c>
      <c r="I17" s="3" t="s">
        <v>145</v>
      </c>
      <c r="J17" s="5" t="s">
        <v>145</v>
      </c>
      <c r="K17" s="107" t="s">
        <v>330</v>
      </c>
      <c r="L17" s="6" t="s">
        <v>12</v>
      </c>
      <c r="M17" s="6" t="s">
        <v>13</v>
      </c>
      <c r="N17" s="118" t="s">
        <v>331</v>
      </c>
      <c r="O17" s="119" t="s">
        <v>332</v>
      </c>
      <c r="P17" s="2">
        <v>49911</v>
      </c>
      <c r="Q17" s="2" t="s">
        <v>333</v>
      </c>
      <c r="R17" s="8">
        <v>0.48199999999999998</v>
      </c>
      <c r="S17" s="46">
        <v>90</v>
      </c>
      <c r="T17" s="46">
        <v>0</v>
      </c>
      <c r="U17" s="46">
        <v>0</v>
      </c>
      <c r="V17" s="26">
        <v>0</v>
      </c>
      <c r="W17" s="24" t="s">
        <v>284</v>
      </c>
      <c r="X17" s="26" t="s">
        <v>334</v>
      </c>
      <c r="Y17" s="119">
        <v>7</v>
      </c>
      <c r="Z17" s="2">
        <v>5</v>
      </c>
      <c r="AA17" s="2">
        <v>16</v>
      </c>
      <c r="AB17" s="2">
        <v>58</v>
      </c>
      <c r="AC17" s="2">
        <v>54</v>
      </c>
      <c r="AD17" s="40">
        <v>54</v>
      </c>
    </row>
    <row r="18" spans="1:30" ht="14.5" customHeight="1">
      <c r="A18" s="14" t="s">
        <v>335</v>
      </c>
      <c r="B18" s="2" t="s">
        <v>1</v>
      </c>
      <c r="C18" s="5" t="s">
        <v>329</v>
      </c>
      <c r="D18" s="30">
        <v>0.92</v>
      </c>
      <c r="E18" s="30">
        <v>0.96289999999999998</v>
      </c>
      <c r="F18" s="100">
        <f t="shared" si="0"/>
        <v>88.586799999999997</v>
      </c>
      <c r="G18" s="106" t="s">
        <v>267</v>
      </c>
      <c r="H18" s="3" t="s">
        <v>257</v>
      </c>
      <c r="I18" s="3" t="s">
        <v>145</v>
      </c>
      <c r="J18" s="5" t="s">
        <v>145</v>
      </c>
      <c r="K18" s="108" t="s">
        <v>336</v>
      </c>
      <c r="L18" s="6" t="s">
        <v>225</v>
      </c>
      <c r="M18" s="6" t="s">
        <v>337</v>
      </c>
      <c r="N18" s="118" t="s">
        <v>338</v>
      </c>
      <c r="O18" s="119" t="s">
        <v>339</v>
      </c>
      <c r="P18" s="2">
        <v>49715</v>
      </c>
      <c r="Q18" s="2" t="s">
        <v>340</v>
      </c>
      <c r="R18" s="8">
        <v>0.48599999999999999</v>
      </c>
      <c r="S18" s="46">
        <v>87</v>
      </c>
      <c r="T18" s="46">
        <v>0</v>
      </c>
      <c r="U18" s="46">
        <v>0</v>
      </c>
      <c r="V18" s="26">
        <v>0</v>
      </c>
      <c r="W18" s="24" t="s">
        <v>284</v>
      </c>
      <c r="X18" s="26" t="s">
        <v>334</v>
      </c>
      <c r="Y18" s="119">
        <v>7</v>
      </c>
      <c r="Z18" s="2">
        <v>2</v>
      </c>
      <c r="AA18" s="2">
        <v>20</v>
      </c>
      <c r="AB18" s="2">
        <v>44</v>
      </c>
      <c r="AC18" s="2">
        <v>35</v>
      </c>
      <c r="AD18" s="40">
        <v>62</v>
      </c>
    </row>
    <row r="19" spans="1:30" ht="14.5" customHeight="1">
      <c r="A19" s="14" t="s">
        <v>341</v>
      </c>
      <c r="B19" s="2" t="s">
        <v>1</v>
      </c>
      <c r="C19" s="5" t="s">
        <v>342</v>
      </c>
      <c r="D19" s="30">
        <v>0.95</v>
      </c>
      <c r="E19" s="30">
        <v>0.95689999999999997</v>
      </c>
      <c r="F19" s="100">
        <f t="shared" si="0"/>
        <v>90.905499999999989</v>
      </c>
      <c r="G19" s="106" t="s">
        <v>267</v>
      </c>
      <c r="H19" s="3" t="s">
        <v>660</v>
      </c>
      <c r="I19" s="3" t="s">
        <v>343</v>
      </c>
      <c r="J19" s="5" t="s">
        <v>145</v>
      </c>
      <c r="K19" s="107" t="s">
        <v>344</v>
      </c>
      <c r="L19" s="6" t="s">
        <v>12</v>
      </c>
      <c r="M19" s="6" t="s">
        <v>13</v>
      </c>
      <c r="N19" s="118" t="s">
        <v>345</v>
      </c>
      <c r="O19" s="119" t="s">
        <v>346</v>
      </c>
      <c r="P19" s="2">
        <v>49298</v>
      </c>
      <c r="Q19" s="2" t="s">
        <v>347</v>
      </c>
      <c r="R19" s="8">
        <v>0.48099999999999998</v>
      </c>
      <c r="S19" s="46">
        <v>84</v>
      </c>
      <c r="T19" s="46">
        <v>0</v>
      </c>
      <c r="U19" s="46">
        <v>0</v>
      </c>
      <c r="V19" s="26">
        <v>0</v>
      </c>
      <c r="W19" s="24" t="s">
        <v>284</v>
      </c>
      <c r="X19" s="26" t="s">
        <v>214</v>
      </c>
      <c r="Y19" s="119">
        <v>2</v>
      </c>
      <c r="Z19" s="2">
        <v>1</v>
      </c>
      <c r="AA19" s="2">
        <v>64</v>
      </c>
      <c r="AB19" s="2">
        <v>52</v>
      </c>
      <c r="AC19" s="2">
        <v>25</v>
      </c>
      <c r="AD19" s="40">
        <v>44</v>
      </c>
    </row>
    <row r="20" spans="1:30" ht="14.5" customHeight="1">
      <c r="A20" s="14" t="s">
        <v>348</v>
      </c>
      <c r="B20" s="2" t="s">
        <v>1</v>
      </c>
      <c r="C20" s="5" t="s">
        <v>349</v>
      </c>
      <c r="D20" s="30">
        <v>0.95</v>
      </c>
      <c r="E20" s="30">
        <v>0.93859999999999999</v>
      </c>
      <c r="F20" s="100">
        <f t="shared" si="0"/>
        <v>89.167000000000002</v>
      </c>
      <c r="G20" s="106" t="s">
        <v>267</v>
      </c>
      <c r="H20" s="3" t="s">
        <v>660</v>
      </c>
      <c r="I20" s="3" t="s">
        <v>350</v>
      </c>
      <c r="J20" s="5" t="s">
        <v>145</v>
      </c>
      <c r="K20" s="107" t="s">
        <v>351</v>
      </c>
      <c r="L20" s="6" t="s">
        <v>12</v>
      </c>
      <c r="M20" s="6" t="s">
        <v>13</v>
      </c>
      <c r="N20" s="118" t="s">
        <v>92</v>
      </c>
      <c r="O20" s="119" t="s">
        <v>352</v>
      </c>
      <c r="P20" s="2">
        <v>50192</v>
      </c>
      <c r="Q20" s="2" t="s">
        <v>353</v>
      </c>
      <c r="R20" s="8">
        <v>0.45800000000000002</v>
      </c>
      <c r="S20" s="46">
        <v>83</v>
      </c>
      <c r="T20" s="46">
        <v>0</v>
      </c>
      <c r="U20" s="46">
        <v>0</v>
      </c>
      <c r="V20" s="26">
        <v>0</v>
      </c>
      <c r="W20" s="24" t="s">
        <v>284</v>
      </c>
      <c r="X20" s="26" t="s">
        <v>214</v>
      </c>
      <c r="Y20" s="119">
        <v>0</v>
      </c>
      <c r="Z20" s="2">
        <v>0</v>
      </c>
      <c r="AA20" s="2">
        <v>2</v>
      </c>
      <c r="AB20" s="2">
        <v>50</v>
      </c>
      <c r="AC20" s="2">
        <v>45</v>
      </c>
      <c r="AD20" s="40">
        <v>46</v>
      </c>
    </row>
    <row r="21" spans="1:30" ht="14.5" customHeight="1">
      <c r="A21" s="14" t="s">
        <v>354</v>
      </c>
      <c r="B21" s="2" t="s">
        <v>1</v>
      </c>
      <c r="C21" s="5" t="s">
        <v>355</v>
      </c>
      <c r="D21" s="30">
        <v>0.93</v>
      </c>
      <c r="E21" s="30">
        <v>0.93940000000000001</v>
      </c>
      <c r="F21" s="100">
        <f t="shared" si="0"/>
        <v>87.364199999999997</v>
      </c>
      <c r="G21" s="106"/>
      <c r="H21" s="3"/>
      <c r="I21" s="3" t="s">
        <v>150</v>
      </c>
      <c r="J21" s="3" t="s">
        <v>150</v>
      </c>
      <c r="K21" s="107" t="s">
        <v>356</v>
      </c>
      <c r="L21" s="6" t="s">
        <v>12</v>
      </c>
      <c r="M21" s="6" t="s">
        <v>13</v>
      </c>
      <c r="N21" s="118" t="s">
        <v>250</v>
      </c>
      <c r="O21" s="119" t="s">
        <v>357</v>
      </c>
      <c r="P21" s="2">
        <v>43627</v>
      </c>
      <c r="Q21" s="2" t="s">
        <v>358</v>
      </c>
      <c r="R21" s="8">
        <v>0.54400000000000004</v>
      </c>
      <c r="S21" s="46">
        <v>63</v>
      </c>
      <c r="T21" s="46">
        <v>0</v>
      </c>
      <c r="U21" s="46">
        <v>0</v>
      </c>
      <c r="V21" s="26">
        <v>0</v>
      </c>
      <c r="W21" s="24" t="s">
        <v>284</v>
      </c>
      <c r="X21" s="26" t="s">
        <v>207</v>
      </c>
      <c r="Y21" s="119">
        <v>0</v>
      </c>
      <c r="Z21" s="2">
        <v>0</v>
      </c>
      <c r="AA21" s="2">
        <v>4</v>
      </c>
      <c r="AB21" s="2">
        <v>30</v>
      </c>
      <c r="AC21" s="2">
        <v>45</v>
      </c>
      <c r="AD21" s="40">
        <v>69</v>
      </c>
    </row>
    <row r="22" spans="1:30" ht="14.5" customHeight="1">
      <c r="A22" s="14" t="s">
        <v>359</v>
      </c>
      <c r="B22" s="2" t="s">
        <v>1</v>
      </c>
      <c r="C22" s="5" t="s">
        <v>360</v>
      </c>
      <c r="D22" s="30">
        <v>0.92</v>
      </c>
      <c r="E22" s="30">
        <v>0.92800000000000005</v>
      </c>
      <c r="F22" s="100">
        <f t="shared" si="0"/>
        <v>85.376000000000005</v>
      </c>
      <c r="G22" s="106"/>
      <c r="H22" s="3"/>
      <c r="I22" s="3" t="s">
        <v>150</v>
      </c>
      <c r="J22" s="3" t="s">
        <v>150</v>
      </c>
      <c r="K22" s="109" t="s">
        <v>361</v>
      </c>
      <c r="L22" s="6" t="s">
        <v>362</v>
      </c>
      <c r="M22" s="6" t="s">
        <v>13</v>
      </c>
      <c r="N22" s="118" t="s">
        <v>363</v>
      </c>
      <c r="O22" s="119" t="s">
        <v>364</v>
      </c>
      <c r="P22" s="2">
        <v>44550</v>
      </c>
      <c r="Q22" s="2" t="s">
        <v>365</v>
      </c>
      <c r="R22" s="8">
        <v>0.54400000000000004</v>
      </c>
      <c r="S22" s="46">
        <v>64</v>
      </c>
      <c r="T22" s="46">
        <v>0</v>
      </c>
      <c r="U22" s="46">
        <v>0</v>
      </c>
      <c r="V22" s="26">
        <v>0</v>
      </c>
      <c r="W22" s="24" t="s">
        <v>284</v>
      </c>
      <c r="X22" s="26" t="s">
        <v>214</v>
      </c>
      <c r="Y22" s="119">
        <v>1</v>
      </c>
      <c r="Z22" s="2">
        <v>1</v>
      </c>
      <c r="AA22" s="2">
        <v>10</v>
      </c>
      <c r="AB22" s="2">
        <v>26</v>
      </c>
      <c r="AC22" s="2">
        <v>53</v>
      </c>
      <c r="AD22" s="40">
        <v>71</v>
      </c>
    </row>
    <row r="23" spans="1:30" ht="14.5" customHeight="1">
      <c r="A23" s="14" t="s">
        <v>366</v>
      </c>
      <c r="B23" s="2" t="s">
        <v>1</v>
      </c>
      <c r="C23" s="5" t="s">
        <v>360</v>
      </c>
      <c r="D23" s="30">
        <v>0.93</v>
      </c>
      <c r="E23" s="30">
        <v>0.92130000000000001</v>
      </c>
      <c r="F23" s="100">
        <f t="shared" si="0"/>
        <v>85.680900000000008</v>
      </c>
      <c r="G23" s="106"/>
      <c r="H23" s="3"/>
      <c r="I23" s="3" t="s">
        <v>150</v>
      </c>
      <c r="J23" s="3" t="s">
        <v>150</v>
      </c>
      <c r="K23" s="109" t="s">
        <v>367</v>
      </c>
      <c r="L23" s="6" t="s">
        <v>362</v>
      </c>
      <c r="M23" s="6" t="s">
        <v>13</v>
      </c>
      <c r="N23" s="118" t="s">
        <v>363</v>
      </c>
      <c r="O23" s="119" t="s">
        <v>368</v>
      </c>
      <c r="P23" s="2">
        <v>44295</v>
      </c>
      <c r="Q23" s="2" t="s">
        <v>369</v>
      </c>
      <c r="R23" s="8">
        <v>0.54600000000000004</v>
      </c>
      <c r="S23" s="46">
        <v>64</v>
      </c>
      <c r="T23" s="46">
        <v>0</v>
      </c>
      <c r="U23" s="46">
        <v>0</v>
      </c>
      <c r="V23" s="26">
        <v>0</v>
      </c>
      <c r="W23" s="24" t="s">
        <v>284</v>
      </c>
      <c r="X23" s="26" t="s">
        <v>214</v>
      </c>
      <c r="Y23" s="119">
        <v>0</v>
      </c>
      <c r="Z23" s="2">
        <v>0</v>
      </c>
      <c r="AA23" s="2">
        <v>8</v>
      </c>
      <c r="AB23" s="2">
        <v>38</v>
      </c>
      <c r="AC23" s="2">
        <v>51</v>
      </c>
      <c r="AD23" s="40">
        <v>67</v>
      </c>
    </row>
    <row r="24" spans="1:30" ht="14.5" customHeight="1">
      <c r="A24" s="14" t="s">
        <v>370</v>
      </c>
      <c r="B24" s="2" t="s">
        <v>1</v>
      </c>
      <c r="C24" s="5" t="s">
        <v>360</v>
      </c>
      <c r="D24" s="30">
        <v>0.9</v>
      </c>
      <c r="E24" s="30">
        <v>0.9113</v>
      </c>
      <c r="F24" s="100">
        <f t="shared" si="0"/>
        <v>82.01700000000001</v>
      </c>
      <c r="G24" s="106"/>
      <c r="H24" s="3"/>
      <c r="I24" s="3" t="s">
        <v>150</v>
      </c>
      <c r="J24" s="3" t="s">
        <v>150</v>
      </c>
      <c r="K24" s="107" t="s">
        <v>371</v>
      </c>
      <c r="L24" s="6" t="s">
        <v>12</v>
      </c>
      <c r="M24" s="6" t="s">
        <v>13</v>
      </c>
      <c r="N24" s="118" t="s">
        <v>338</v>
      </c>
      <c r="O24" s="119" t="s">
        <v>372</v>
      </c>
      <c r="P24" s="2">
        <v>43104</v>
      </c>
      <c r="Q24" s="2" t="s">
        <v>373</v>
      </c>
      <c r="R24" s="8">
        <v>0.54600000000000004</v>
      </c>
      <c r="S24" s="46">
        <v>65</v>
      </c>
      <c r="T24" s="46">
        <v>0</v>
      </c>
      <c r="U24" s="46">
        <v>0</v>
      </c>
      <c r="V24" s="26">
        <v>0</v>
      </c>
      <c r="W24" s="24" t="s">
        <v>284</v>
      </c>
      <c r="X24" s="26" t="s">
        <v>214</v>
      </c>
      <c r="Y24" s="119">
        <v>0</v>
      </c>
      <c r="Z24" s="2">
        <v>2</v>
      </c>
      <c r="AA24" s="2">
        <v>6</v>
      </c>
      <c r="AB24" s="2">
        <v>42</v>
      </c>
      <c r="AC24" s="2">
        <v>54</v>
      </c>
      <c r="AD24" s="40">
        <v>75</v>
      </c>
    </row>
    <row r="25" spans="1:30" ht="14.5" customHeight="1">
      <c r="A25" s="14" t="s">
        <v>374</v>
      </c>
      <c r="B25" s="2" t="s">
        <v>1</v>
      </c>
      <c r="C25" s="5" t="s">
        <v>375</v>
      </c>
      <c r="D25" s="30">
        <v>0.95</v>
      </c>
      <c r="E25" s="30">
        <v>0.9486</v>
      </c>
      <c r="F25" s="100">
        <f t="shared" si="0"/>
        <v>90.11699999999999</v>
      </c>
      <c r="G25" s="106"/>
      <c r="H25" s="3"/>
      <c r="I25" s="3" t="s">
        <v>150</v>
      </c>
      <c r="J25" s="3" t="s">
        <v>150</v>
      </c>
      <c r="K25" s="107" t="s">
        <v>376</v>
      </c>
      <c r="L25" s="6" t="s">
        <v>12</v>
      </c>
      <c r="M25" s="6" t="s">
        <v>13</v>
      </c>
      <c r="N25" s="118" t="s">
        <v>219</v>
      </c>
      <c r="O25" s="119" t="s">
        <v>377</v>
      </c>
      <c r="P25" s="2">
        <v>44882</v>
      </c>
      <c r="Q25" s="2" t="s">
        <v>378</v>
      </c>
      <c r="R25" s="8">
        <v>0.54500000000000004</v>
      </c>
      <c r="S25" s="46">
        <v>65</v>
      </c>
      <c r="T25" s="46">
        <v>0</v>
      </c>
      <c r="U25" s="46">
        <v>0</v>
      </c>
      <c r="V25" s="26">
        <v>0</v>
      </c>
      <c r="W25" s="24" t="s">
        <v>284</v>
      </c>
      <c r="X25" s="26" t="s">
        <v>207</v>
      </c>
      <c r="Y25" s="119">
        <v>0</v>
      </c>
      <c r="Z25" s="2">
        <v>0</v>
      </c>
      <c r="AA25" s="2">
        <v>10</v>
      </c>
      <c r="AB25" s="2">
        <v>30</v>
      </c>
      <c r="AC25" s="2">
        <v>48</v>
      </c>
      <c r="AD25" s="40">
        <v>80</v>
      </c>
    </row>
    <row r="26" spans="1:30" ht="14.5" customHeight="1">
      <c r="A26" s="14" t="s">
        <v>379</v>
      </c>
      <c r="B26" s="2" t="s">
        <v>1</v>
      </c>
      <c r="C26" s="5" t="s">
        <v>380</v>
      </c>
      <c r="D26" s="30">
        <v>0.91</v>
      </c>
      <c r="E26" s="30">
        <v>0.96340000000000003</v>
      </c>
      <c r="F26" s="100">
        <f t="shared" si="0"/>
        <v>87.66940000000001</v>
      </c>
      <c r="G26" s="106"/>
      <c r="H26" s="3" t="s">
        <v>657</v>
      </c>
      <c r="I26" s="3" t="s">
        <v>381</v>
      </c>
      <c r="J26" s="5" t="s">
        <v>145</v>
      </c>
      <c r="K26" s="108" t="s">
        <v>382</v>
      </c>
      <c r="L26" s="6" t="s">
        <v>12</v>
      </c>
      <c r="M26" s="6" t="s">
        <v>13</v>
      </c>
      <c r="N26" s="118" t="s">
        <v>250</v>
      </c>
      <c r="O26" s="119" t="s">
        <v>383</v>
      </c>
      <c r="P26" s="2">
        <v>58073</v>
      </c>
      <c r="Q26" s="2" t="s">
        <v>384</v>
      </c>
      <c r="R26" s="8">
        <v>0.435</v>
      </c>
      <c r="S26" s="46">
        <v>93</v>
      </c>
      <c r="T26" s="46">
        <v>0</v>
      </c>
      <c r="U26" s="46">
        <v>0</v>
      </c>
      <c r="V26" s="26">
        <v>0</v>
      </c>
      <c r="W26" s="24" t="s">
        <v>284</v>
      </c>
      <c r="X26" s="26" t="s">
        <v>207</v>
      </c>
      <c r="Y26" s="119">
        <v>0</v>
      </c>
      <c r="Z26" s="2">
        <v>2</v>
      </c>
      <c r="AA26" s="2">
        <v>32</v>
      </c>
      <c r="AB26" s="2">
        <v>42</v>
      </c>
      <c r="AC26" s="2">
        <v>96</v>
      </c>
      <c r="AD26" s="40">
        <v>102</v>
      </c>
    </row>
    <row r="27" spans="1:30" ht="14.5" customHeight="1">
      <c r="A27" s="14" t="s">
        <v>385</v>
      </c>
      <c r="B27" s="2" t="s">
        <v>1</v>
      </c>
      <c r="C27" s="5" t="s">
        <v>386</v>
      </c>
      <c r="D27" s="30">
        <v>0.86</v>
      </c>
      <c r="E27" s="30">
        <v>0.9456</v>
      </c>
      <c r="F27" s="100">
        <f t="shared" si="0"/>
        <v>81.321599999999989</v>
      </c>
      <c r="G27" s="106"/>
      <c r="H27" s="3" t="s">
        <v>657</v>
      </c>
      <c r="I27" s="3" t="s">
        <v>381</v>
      </c>
      <c r="J27" s="5" t="s">
        <v>145</v>
      </c>
      <c r="K27" s="107" t="s">
        <v>387</v>
      </c>
      <c r="L27" s="6" t="s">
        <v>12</v>
      </c>
      <c r="M27" s="6" t="s">
        <v>388</v>
      </c>
      <c r="N27" s="118" t="s">
        <v>92</v>
      </c>
      <c r="O27" s="119" t="s">
        <v>389</v>
      </c>
      <c r="P27" s="2">
        <v>59834</v>
      </c>
      <c r="Q27" s="2" t="s">
        <v>291</v>
      </c>
      <c r="R27" s="8">
        <v>0.435</v>
      </c>
      <c r="S27" s="46">
        <v>92</v>
      </c>
      <c r="T27" s="46">
        <v>0</v>
      </c>
      <c r="U27" s="46">
        <v>0</v>
      </c>
      <c r="V27" s="26">
        <v>0</v>
      </c>
      <c r="W27" s="24" t="s">
        <v>284</v>
      </c>
      <c r="X27" s="26" t="s">
        <v>207</v>
      </c>
      <c r="Y27" s="119">
        <v>1</v>
      </c>
      <c r="Z27" s="2">
        <v>0</v>
      </c>
      <c r="AA27" s="2">
        <v>24</v>
      </c>
      <c r="AB27" s="2">
        <v>46</v>
      </c>
      <c r="AC27" s="2">
        <v>100</v>
      </c>
      <c r="AD27" s="40">
        <v>106</v>
      </c>
    </row>
    <row r="28" spans="1:30" ht="14.5" customHeight="1">
      <c r="A28" s="14" t="s">
        <v>390</v>
      </c>
      <c r="B28" s="2" t="s">
        <v>1</v>
      </c>
      <c r="C28" s="5" t="s">
        <v>391</v>
      </c>
      <c r="D28" s="30">
        <v>0.97</v>
      </c>
      <c r="E28" s="30">
        <v>0.97370000000000001</v>
      </c>
      <c r="F28" s="100">
        <f t="shared" si="0"/>
        <v>94.448900000000009</v>
      </c>
      <c r="G28" s="106"/>
      <c r="H28" s="3" t="s">
        <v>657</v>
      </c>
      <c r="I28" s="3" t="s">
        <v>392</v>
      </c>
      <c r="J28" s="5" t="s">
        <v>145</v>
      </c>
      <c r="K28" s="107" t="s">
        <v>393</v>
      </c>
      <c r="L28" s="6" t="s">
        <v>12</v>
      </c>
      <c r="M28" s="6" t="s">
        <v>13</v>
      </c>
      <c r="N28" s="118" t="s">
        <v>219</v>
      </c>
      <c r="O28" s="119" t="s">
        <v>394</v>
      </c>
      <c r="P28" s="2">
        <v>56589</v>
      </c>
      <c r="Q28" s="2" t="s">
        <v>395</v>
      </c>
      <c r="R28" s="8">
        <v>0.44700000000000001</v>
      </c>
      <c r="S28" s="46">
        <v>95</v>
      </c>
      <c r="T28" s="46">
        <v>0</v>
      </c>
      <c r="U28" s="46">
        <v>0</v>
      </c>
      <c r="V28" s="26">
        <v>0</v>
      </c>
      <c r="W28" s="24" t="s">
        <v>284</v>
      </c>
      <c r="X28" s="26" t="s">
        <v>396</v>
      </c>
      <c r="Y28" s="119">
        <v>0</v>
      </c>
      <c r="Z28" s="2">
        <v>3</v>
      </c>
      <c r="AA28" s="2">
        <v>10</v>
      </c>
      <c r="AB28" s="2">
        <v>34</v>
      </c>
      <c r="AC28" s="2">
        <v>111</v>
      </c>
      <c r="AD28" s="40">
        <v>81</v>
      </c>
    </row>
    <row r="29" spans="1:30" ht="14.5" customHeight="1">
      <c r="A29" s="14" t="s">
        <v>397</v>
      </c>
      <c r="B29" s="2" t="s">
        <v>1</v>
      </c>
      <c r="C29" s="5" t="s">
        <v>398</v>
      </c>
      <c r="D29" s="30">
        <v>0.91</v>
      </c>
      <c r="E29" s="30">
        <v>0.9214</v>
      </c>
      <c r="F29" s="100">
        <f t="shared" si="0"/>
        <v>83.847400000000007</v>
      </c>
      <c r="G29" s="106"/>
      <c r="H29" s="3" t="s">
        <v>657</v>
      </c>
      <c r="I29" s="3" t="s">
        <v>392</v>
      </c>
      <c r="J29" s="5" t="s">
        <v>145</v>
      </c>
      <c r="K29" s="107" t="s">
        <v>399</v>
      </c>
      <c r="L29" s="6" t="s">
        <v>12</v>
      </c>
      <c r="M29" s="6" t="s">
        <v>13</v>
      </c>
      <c r="N29" s="118" t="s">
        <v>338</v>
      </c>
      <c r="O29" s="119" t="s">
        <v>400</v>
      </c>
      <c r="P29" s="2">
        <v>58567</v>
      </c>
      <c r="Q29" s="2" t="s">
        <v>401</v>
      </c>
      <c r="R29" s="8">
        <v>0.44700000000000001</v>
      </c>
      <c r="S29" s="46">
        <v>95</v>
      </c>
      <c r="T29" s="46">
        <v>0</v>
      </c>
      <c r="U29" s="46">
        <v>0</v>
      </c>
      <c r="V29" s="26">
        <v>0</v>
      </c>
      <c r="W29" s="24" t="s">
        <v>284</v>
      </c>
      <c r="X29" s="26" t="s">
        <v>396</v>
      </c>
      <c r="Y29" s="119">
        <v>0</v>
      </c>
      <c r="Z29" s="2">
        <v>4</v>
      </c>
      <c r="AA29" s="2">
        <v>10</v>
      </c>
      <c r="AB29" s="2">
        <v>26</v>
      </c>
      <c r="AC29" s="2">
        <v>124</v>
      </c>
      <c r="AD29" s="40">
        <v>85</v>
      </c>
    </row>
    <row r="30" spans="1:30" ht="14.5" customHeight="1">
      <c r="A30" s="14" t="s">
        <v>402</v>
      </c>
      <c r="B30" s="2" t="s">
        <v>1</v>
      </c>
      <c r="C30" s="5" t="s">
        <v>398</v>
      </c>
      <c r="D30" s="30">
        <v>0.94</v>
      </c>
      <c r="E30" s="30">
        <v>0.93859999999999999</v>
      </c>
      <c r="F30" s="100">
        <f t="shared" si="0"/>
        <v>88.228399999999993</v>
      </c>
      <c r="G30" s="106"/>
      <c r="H30" s="3" t="s">
        <v>657</v>
      </c>
      <c r="I30" s="3" t="s">
        <v>392</v>
      </c>
      <c r="J30" s="5" t="s">
        <v>145</v>
      </c>
      <c r="K30" s="107" t="s">
        <v>403</v>
      </c>
      <c r="L30" s="6" t="s">
        <v>12</v>
      </c>
      <c r="M30" s="6" t="s">
        <v>13</v>
      </c>
      <c r="N30" s="118" t="s">
        <v>338</v>
      </c>
      <c r="O30" s="119" t="s">
        <v>404</v>
      </c>
      <c r="P30" s="2">
        <v>60092</v>
      </c>
      <c r="Q30" s="2" t="s">
        <v>405</v>
      </c>
      <c r="R30" s="8">
        <v>0.443</v>
      </c>
      <c r="S30" s="46">
        <v>97</v>
      </c>
      <c r="T30" s="46">
        <v>0</v>
      </c>
      <c r="U30" s="46">
        <v>0</v>
      </c>
      <c r="V30" s="26">
        <v>0</v>
      </c>
      <c r="W30" s="24" t="s">
        <v>284</v>
      </c>
      <c r="X30" s="26" t="s">
        <v>396</v>
      </c>
      <c r="Y30" s="119">
        <v>0</v>
      </c>
      <c r="Z30" s="2">
        <v>1</v>
      </c>
      <c r="AA30" s="2">
        <v>10</v>
      </c>
      <c r="AB30" s="2">
        <v>38</v>
      </c>
      <c r="AC30" s="2">
        <v>121</v>
      </c>
      <c r="AD30" s="40">
        <v>95</v>
      </c>
    </row>
    <row r="31" spans="1:30" ht="14.5" customHeight="1">
      <c r="A31" s="14" t="s">
        <v>406</v>
      </c>
      <c r="B31" s="2" t="s">
        <v>1</v>
      </c>
      <c r="C31" s="5" t="s">
        <v>398</v>
      </c>
      <c r="D31" s="30">
        <v>0.92</v>
      </c>
      <c r="E31" s="30">
        <v>0.95369999999999999</v>
      </c>
      <c r="F31" s="100">
        <f t="shared" si="0"/>
        <v>87.740400000000008</v>
      </c>
      <c r="G31" s="106"/>
      <c r="H31" s="3" t="s">
        <v>657</v>
      </c>
      <c r="I31" s="3" t="s">
        <v>392</v>
      </c>
      <c r="J31" s="5" t="s">
        <v>145</v>
      </c>
      <c r="K31" s="107" t="s">
        <v>407</v>
      </c>
      <c r="L31" s="6" t="s">
        <v>96</v>
      </c>
      <c r="M31" s="6" t="s">
        <v>13</v>
      </c>
      <c r="N31" s="118" t="s">
        <v>219</v>
      </c>
      <c r="O31" s="119" t="s">
        <v>408</v>
      </c>
      <c r="P31" s="2">
        <v>60068</v>
      </c>
      <c r="Q31" s="2" t="s">
        <v>409</v>
      </c>
      <c r="R31" s="8">
        <v>0.44700000000000001</v>
      </c>
      <c r="S31" s="46">
        <v>96</v>
      </c>
      <c r="T31" s="46">
        <v>0</v>
      </c>
      <c r="U31" s="46">
        <v>0</v>
      </c>
      <c r="V31" s="26">
        <v>0</v>
      </c>
      <c r="W31" s="24" t="s">
        <v>284</v>
      </c>
      <c r="X31" s="26" t="s">
        <v>396</v>
      </c>
      <c r="Y31" s="119">
        <v>0</v>
      </c>
      <c r="Z31" s="2">
        <v>3</v>
      </c>
      <c r="AA31" s="2">
        <v>10</v>
      </c>
      <c r="AB31" s="2">
        <v>38</v>
      </c>
      <c r="AC31" s="2">
        <v>122</v>
      </c>
      <c r="AD31" s="40">
        <v>82</v>
      </c>
    </row>
    <row r="32" spans="1:30" ht="14.5" customHeight="1">
      <c r="A32" s="14" t="s">
        <v>410</v>
      </c>
      <c r="B32" s="2" t="s">
        <v>1</v>
      </c>
      <c r="C32" s="3" t="s">
        <v>411</v>
      </c>
      <c r="D32" s="30">
        <v>0.86</v>
      </c>
      <c r="E32" s="30">
        <v>0.93159999999999998</v>
      </c>
      <c r="F32" s="100">
        <f t="shared" si="0"/>
        <v>80.117599999999996</v>
      </c>
      <c r="G32" s="106"/>
      <c r="H32" s="3" t="s">
        <v>657</v>
      </c>
      <c r="I32" s="3" t="s">
        <v>392</v>
      </c>
      <c r="J32" s="5" t="s">
        <v>145</v>
      </c>
      <c r="K32" s="107" t="s">
        <v>412</v>
      </c>
      <c r="L32" s="6" t="s">
        <v>12</v>
      </c>
      <c r="M32" s="6" t="s">
        <v>13</v>
      </c>
      <c r="N32" s="118" t="s">
        <v>219</v>
      </c>
      <c r="O32" s="119" t="s">
        <v>413</v>
      </c>
      <c r="P32" s="2">
        <v>58342</v>
      </c>
      <c r="Q32" s="2" t="s">
        <v>133</v>
      </c>
      <c r="R32" s="8">
        <v>0.442</v>
      </c>
      <c r="S32" s="46">
        <v>88</v>
      </c>
      <c r="T32" s="46">
        <v>0</v>
      </c>
      <c r="U32" s="46">
        <v>0</v>
      </c>
      <c r="V32" s="26">
        <v>0</v>
      </c>
      <c r="W32" s="24" t="s">
        <v>284</v>
      </c>
      <c r="X32" s="26" t="s">
        <v>207</v>
      </c>
      <c r="Y32" s="119">
        <v>1</v>
      </c>
      <c r="Z32" s="2">
        <v>5</v>
      </c>
      <c r="AA32" s="2">
        <v>10</v>
      </c>
      <c r="AB32" s="2">
        <v>36</v>
      </c>
      <c r="AC32" s="2">
        <v>115</v>
      </c>
      <c r="AD32" s="40">
        <v>92</v>
      </c>
    </row>
    <row r="33" spans="1:30" ht="14.5" customHeight="1">
      <c r="A33" s="14" t="s">
        <v>414</v>
      </c>
      <c r="B33" s="2" t="s">
        <v>1</v>
      </c>
      <c r="C33" s="5" t="s">
        <v>415</v>
      </c>
      <c r="D33" s="30">
        <v>0.93</v>
      </c>
      <c r="E33" s="30">
        <v>0.9738</v>
      </c>
      <c r="F33" s="100">
        <f t="shared" si="0"/>
        <v>90.563400000000001</v>
      </c>
      <c r="G33" s="106" t="s">
        <v>268</v>
      </c>
      <c r="H33" s="3" t="s">
        <v>258</v>
      </c>
      <c r="I33" s="3" t="s">
        <v>658</v>
      </c>
      <c r="J33" s="5" t="s">
        <v>145</v>
      </c>
      <c r="K33" s="107" t="s">
        <v>416</v>
      </c>
      <c r="L33" s="6" t="s">
        <v>12</v>
      </c>
      <c r="M33" s="6" t="s">
        <v>417</v>
      </c>
      <c r="N33" s="118" t="s">
        <v>418</v>
      </c>
      <c r="O33" s="119" t="s">
        <v>419</v>
      </c>
      <c r="P33" s="2">
        <v>114196</v>
      </c>
      <c r="Q33" s="2" t="s">
        <v>420</v>
      </c>
      <c r="R33" s="8">
        <v>0.40200000000000002</v>
      </c>
      <c r="S33" s="46">
        <v>179</v>
      </c>
      <c r="T33" s="46">
        <v>30</v>
      </c>
      <c r="U33" s="46">
        <v>0</v>
      </c>
      <c r="V33" s="26">
        <v>0</v>
      </c>
      <c r="W33" s="24" t="s">
        <v>421</v>
      </c>
      <c r="X33" s="26" t="s">
        <v>222</v>
      </c>
      <c r="Y33" s="119">
        <v>9</v>
      </c>
      <c r="Z33" s="2">
        <v>1</v>
      </c>
      <c r="AA33" s="2">
        <v>32</v>
      </c>
      <c r="AB33" s="2">
        <v>90</v>
      </c>
      <c r="AC33" s="2">
        <v>129</v>
      </c>
      <c r="AD33" s="40">
        <v>139</v>
      </c>
    </row>
    <row r="34" spans="1:30" ht="14.5" customHeight="1">
      <c r="A34" s="14" t="s">
        <v>422</v>
      </c>
      <c r="B34" s="2" t="s">
        <v>1</v>
      </c>
      <c r="C34" s="5" t="s">
        <v>423</v>
      </c>
      <c r="D34" s="30">
        <v>0.85</v>
      </c>
      <c r="E34" s="30">
        <v>0.86850000000000005</v>
      </c>
      <c r="F34" s="100">
        <f t="shared" si="0"/>
        <v>73.822500000000005</v>
      </c>
      <c r="G34" s="106" t="s">
        <v>268</v>
      </c>
      <c r="H34" s="3" t="s">
        <v>258</v>
      </c>
      <c r="I34" s="3" t="s">
        <v>658</v>
      </c>
      <c r="J34" s="5" t="s">
        <v>145</v>
      </c>
      <c r="K34" s="109" t="s">
        <v>424</v>
      </c>
      <c r="L34" s="6" t="s">
        <v>12</v>
      </c>
      <c r="M34" s="6" t="s">
        <v>417</v>
      </c>
      <c r="N34" s="118" t="s">
        <v>418</v>
      </c>
      <c r="O34" s="119" t="s">
        <v>425</v>
      </c>
      <c r="P34" s="2">
        <v>114179</v>
      </c>
      <c r="Q34" s="2" t="s">
        <v>426</v>
      </c>
      <c r="R34" s="8">
        <v>0.40699999999999997</v>
      </c>
      <c r="S34" s="46">
        <v>169</v>
      </c>
      <c r="T34" s="46">
        <v>31</v>
      </c>
      <c r="U34" s="46">
        <v>0</v>
      </c>
      <c r="V34" s="26">
        <v>0</v>
      </c>
      <c r="W34" s="24" t="s">
        <v>421</v>
      </c>
      <c r="X34" s="26" t="s">
        <v>222</v>
      </c>
      <c r="Y34" s="119">
        <v>12</v>
      </c>
      <c r="Z34" s="2">
        <v>6</v>
      </c>
      <c r="AA34" s="2">
        <v>24</v>
      </c>
      <c r="AB34" s="2">
        <v>88</v>
      </c>
      <c r="AC34" s="2">
        <v>131</v>
      </c>
      <c r="AD34" s="40">
        <v>145</v>
      </c>
    </row>
    <row r="35" spans="1:30" ht="14.5" customHeight="1">
      <c r="A35" s="14" t="s">
        <v>427</v>
      </c>
      <c r="B35" s="2" t="s">
        <v>1</v>
      </c>
      <c r="C35" s="5" t="s">
        <v>428</v>
      </c>
      <c r="D35" s="30">
        <v>0.93</v>
      </c>
      <c r="E35" s="30">
        <v>0.98099999999999998</v>
      </c>
      <c r="F35" s="100">
        <f t="shared" si="0"/>
        <v>91.233000000000004</v>
      </c>
      <c r="G35" s="106" t="s">
        <v>268</v>
      </c>
      <c r="H35" s="3" t="s">
        <v>258</v>
      </c>
      <c r="I35" s="3" t="s">
        <v>658</v>
      </c>
      <c r="J35" s="5" t="s">
        <v>145</v>
      </c>
      <c r="K35" s="109" t="s">
        <v>429</v>
      </c>
      <c r="L35" s="6" t="s">
        <v>12</v>
      </c>
      <c r="M35" s="6" t="s">
        <v>13</v>
      </c>
      <c r="N35" s="118" t="s">
        <v>430</v>
      </c>
      <c r="O35" s="119" t="s">
        <v>431</v>
      </c>
      <c r="P35" s="2">
        <v>115446</v>
      </c>
      <c r="Q35" s="2" t="s">
        <v>432</v>
      </c>
      <c r="R35" s="8">
        <v>0.40100000000000002</v>
      </c>
      <c r="S35" s="46">
        <v>182</v>
      </c>
      <c r="T35" s="46">
        <v>28</v>
      </c>
      <c r="U35" s="46">
        <v>0</v>
      </c>
      <c r="V35" s="26">
        <v>0</v>
      </c>
      <c r="W35" s="24" t="s">
        <v>421</v>
      </c>
      <c r="X35" s="26" t="s">
        <v>222</v>
      </c>
      <c r="Y35" s="119">
        <v>6</v>
      </c>
      <c r="Z35" s="2">
        <v>3</v>
      </c>
      <c r="AA35" s="2">
        <v>28</v>
      </c>
      <c r="AB35" s="2">
        <v>78</v>
      </c>
      <c r="AC35" s="2">
        <v>127</v>
      </c>
      <c r="AD35" s="40">
        <v>130</v>
      </c>
    </row>
    <row r="36" spans="1:30" ht="14.5" customHeight="1">
      <c r="A36" s="14" t="s">
        <v>433</v>
      </c>
      <c r="B36" s="2" t="s">
        <v>1</v>
      </c>
      <c r="C36" s="5" t="s">
        <v>434</v>
      </c>
      <c r="D36" s="30">
        <v>0.82</v>
      </c>
      <c r="E36" s="30">
        <v>0.90759999999999996</v>
      </c>
      <c r="F36" s="100">
        <f t="shared" si="0"/>
        <v>74.423199999999994</v>
      </c>
      <c r="G36" s="106" t="s">
        <v>268</v>
      </c>
      <c r="H36" s="3" t="s">
        <v>258</v>
      </c>
      <c r="I36" s="3" t="s">
        <v>658</v>
      </c>
      <c r="J36" s="5" t="s">
        <v>145</v>
      </c>
      <c r="K36" s="107" t="s">
        <v>435</v>
      </c>
      <c r="L36" s="6" t="s">
        <v>96</v>
      </c>
      <c r="M36" s="6" t="s">
        <v>13</v>
      </c>
      <c r="N36" s="118" t="s">
        <v>219</v>
      </c>
      <c r="O36" s="119" t="s">
        <v>436</v>
      </c>
      <c r="P36" s="2">
        <v>110821</v>
      </c>
      <c r="Q36" s="2" t="s">
        <v>437</v>
      </c>
      <c r="R36" s="8">
        <v>0.40100000000000002</v>
      </c>
      <c r="S36" s="46">
        <v>180</v>
      </c>
      <c r="T36" s="46">
        <v>29</v>
      </c>
      <c r="U36" s="46">
        <v>0</v>
      </c>
      <c r="V36" s="26">
        <v>0</v>
      </c>
      <c r="W36" s="24" t="s">
        <v>421</v>
      </c>
      <c r="X36" s="26" t="s">
        <v>222</v>
      </c>
      <c r="Y36" s="119">
        <v>7</v>
      </c>
      <c r="Z36" s="2">
        <v>4</v>
      </c>
      <c r="AA36" s="2">
        <v>40</v>
      </c>
      <c r="AB36" s="2">
        <v>80</v>
      </c>
      <c r="AC36" s="2">
        <v>109</v>
      </c>
      <c r="AD36" s="40">
        <v>120</v>
      </c>
    </row>
    <row r="37" spans="1:30" ht="14.5" customHeight="1">
      <c r="A37" s="14" t="s">
        <v>438</v>
      </c>
      <c r="B37" s="2" t="s">
        <v>1</v>
      </c>
      <c r="C37" s="5" t="s">
        <v>415</v>
      </c>
      <c r="D37" s="30">
        <v>0.87</v>
      </c>
      <c r="E37" s="30">
        <v>0.97209999999999996</v>
      </c>
      <c r="F37" s="100">
        <f t="shared" si="0"/>
        <v>84.572699999999998</v>
      </c>
      <c r="G37" s="106" t="s">
        <v>268</v>
      </c>
      <c r="H37" s="3" t="s">
        <v>258</v>
      </c>
      <c r="I37" s="3" t="s">
        <v>658</v>
      </c>
      <c r="J37" s="5" t="s">
        <v>145</v>
      </c>
      <c r="K37" s="109" t="s">
        <v>439</v>
      </c>
      <c r="L37" s="6" t="s">
        <v>12</v>
      </c>
      <c r="M37" s="6" t="s">
        <v>13</v>
      </c>
      <c r="N37" s="118" t="s">
        <v>313</v>
      </c>
      <c r="O37" s="119" t="s">
        <v>440</v>
      </c>
      <c r="P37" s="2">
        <v>114488</v>
      </c>
      <c r="Q37" s="2" t="s">
        <v>441</v>
      </c>
      <c r="R37" s="8">
        <v>0.39700000000000002</v>
      </c>
      <c r="S37" s="46">
        <v>182</v>
      </c>
      <c r="T37" s="46">
        <v>24</v>
      </c>
      <c r="U37" s="46">
        <v>0</v>
      </c>
      <c r="V37" s="26">
        <v>0</v>
      </c>
      <c r="W37" s="24" t="s">
        <v>421</v>
      </c>
      <c r="X37" s="26" t="s">
        <v>222</v>
      </c>
      <c r="Y37" s="119">
        <v>8</v>
      </c>
      <c r="Z37" s="2">
        <v>4</v>
      </c>
      <c r="AA37" s="2">
        <v>36</v>
      </c>
      <c r="AB37" s="2">
        <v>70</v>
      </c>
      <c r="AC37" s="2">
        <v>127</v>
      </c>
      <c r="AD37" s="40">
        <v>127</v>
      </c>
    </row>
    <row r="38" spans="1:30" ht="14.5" customHeight="1">
      <c r="A38" s="14" t="s">
        <v>442</v>
      </c>
      <c r="B38" s="2" t="s">
        <v>1</v>
      </c>
      <c r="C38" s="5" t="s">
        <v>443</v>
      </c>
      <c r="D38" s="30">
        <v>0.89</v>
      </c>
      <c r="E38" s="30">
        <v>0.91890000000000005</v>
      </c>
      <c r="F38" s="100">
        <f t="shared" si="0"/>
        <v>81.7821</v>
      </c>
      <c r="G38" s="106" t="s">
        <v>268</v>
      </c>
      <c r="H38" s="3" t="s">
        <v>258</v>
      </c>
      <c r="I38" s="3" t="s">
        <v>218</v>
      </c>
      <c r="J38" s="5" t="s">
        <v>145</v>
      </c>
      <c r="K38" s="107" t="s">
        <v>444</v>
      </c>
      <c r="L38" s="6" t="s">
        <v>12</v>
      </c>
      <c r="M38" s="6" t="s">
        <v>13</v>
      </c>
      <c r="N38" s="118" t="s">
        <v>430</v>
      </c>
      <c r="O38" s="119" t="s">
        <v>445</v>
      </c>
      <c r="P38" s="2">
        <v>113532</v>
      </c>
      <c r="Q38" s="2" t="s">
        <v>446</v>
      </c>
      <c r="R38" s="8">
        <v>0.39</v>
      </c>
      <c r="S38" s="46">
        <v>169</v>
      </c>
      <c r="T38" s="46">
        <v>24</v>
      </c>
      <c r="U38" s="46">
        <v>0</v>
      </c>
      <c r="V38" s="26">
        <v>0</v>
      </c>
      <c r="W38" s="24" t="s">
        <v>421</v>
      </c>
      <c r="X38" s="26" t="s">
        <v>222</v>
      </c>
      <c r="Y38" s="119">
        <v>5</v>
      </c>
      <c r="Z38" s="2">
        <v>4</v>
      </c>
      <c r="AA38" s="2">
        <v>20</v>
      </c>
      <c r="AB38" s="2">
        <v>18</v>
      </c>
      <c r="AC38" s="2">
        <v>113</v>
      </c>
      <c r="AD38" s="40">
        <v>124</v>
      </c>
    </row>
    <row r="39" spans="1:30" ht="14.5" customHeight="1">
      <c r="A39" s="14" t="s">
        <v>216</v>
      </c>
      <c r="B39" s="2" t="s">
        <v>1</v>
      </c>
      <c r="C39" s="5" t="s">
        <v>217</v>
      </c>
      <c r="D39" s="30">
        <v>0.87</v>
      </c>
      <c r="E39" s="30">
        <v>0.96509999999999996</v>
      </c>
      <c r="F39" s="100">
        <f t="shared" si="0"/>
        <v>83.963700000000003</v>
      </c>
      <c r="G39" s="106" t="s">
        <v>268</v>
      </c>
      <c r="H39" s="3" t="s">
        <v>258</v>
      </c>
      <c r="I39" s="3" t="s">
        <v>218</v>
      </c>
      <c r="J39" s="5" t="s">
        <v>145</v>
      </c>
      <c r="K39" s="109" t="s">
        <v>447</v>
      </c>
      <c r="L39" s="6" t="s">
        <v>12</v>
      </c>
      <c r="M39" s="6" t="s">
        <v>13</v>
      </c>
      <c r="N39" s="118" t="s">
        <v>219</v>
      </c>
      <c r="O39" s="119" t="s">
        <v>220</v>
      </c>
      <c r="P39" s="2">
        <v>112239</v>
      </c>
      <c r="Q39" s="2" t="s">
        <v>221</v>
      </c>
      <c r="R39" s="8">
        <v>0.39</v>
      </c>
      <c r="S39" s="46">
        <v>172</v>
      </c>
      <c r="T39" s="46">
        <v>26</v>
      </c>
      <c r="U39" s="46">
        <v>0</v>
      </c>
      <c r="V39" s="26">
        <v>0</v>
      </c>
      <c r="W39" s="24" t="s">
        <v>206</v>
      </c>
      <c r="X39" s="26" t="s">
        <v>222</v>
      </c>
      <c r="Y39" s="119">
        <v>7</v>
      </c>
      <c r="Z39" s="2">
        <v>5</v>
      </c>
      <c r="AA39" s="2">
        <v>18</v>
      </c>
      <c r="AB39" s="2">
        <v>6</v>
      </c>
      <c r="AC39" s="2">
        <v>117</v>
      </c>
      <c r="AD39" s="40">
        <v>129</v>
      </c>
    </row>
    <row r="40" spans="1:30" ht="14.5" customHeight="1">
      <c r="A40" s="14" t="s">
        <v>448</v>
      </c>
      <c r="B40" s="2" t="s">
        <v>1</v>
      </c>
      <c r="C40" s="5" t="s">
        <v>449</v>
      </c>
      <c r="D40" s="30">
        <v>0.84</v>
      </c>
      <c r="E40" s="30">
        <v>0.95740000000000003</v>
      </c>
      <c r="F40" s="100">
        <f t="shared" si="0"/>
        <v>80.421599999999998</v>
      </c>
      <c r="G40" s="106" t="s">
        <v>268</v>
      </c>
      <c r="H40" s="3" t="s">
        <v>258</v>
      </c>
      <c r="I40" s="3" t="s">
        <v>218</v>
      </c>
      <c r="J40" s="5" t="s">
        <v>145</v>
      </c>
      <c r="K40" s="107" t="s">
        <v>450</v>
      </c>
      <c r="L40" s="6" t="s">
        <v>12</v>
      </c>
      <c r="M40" s="6" t="s">
        <v>13</v>
      </c>
      <c r="N40" s="118" t="s">
        <v>219</v>
      </c>
      <c r="O40" s="119" t="s">
        <v>451</v>
      </c>
      <c r="P40" s="2">
        <v>111607</v>
      </c>
      <c r="Q40" s="2" t="s">
        <v>452</v>
      </c>
      <c r="R40" s="8">
        <v>0.39100000000000001</v>
      </c>
      <c r="S40" s="46">
        <v>170</v>
      </c>
      <c r="T40" s="46">
        <v>23</v>
      </c>
      <c r="U40" s="46">
        <v>1</v>
      </c>
      <c r="V40" s="26">
        <v>0</v>
      </c>
      <c r="W40" s="24" t="s">
        <v>421</v>
      </c>
      <c r="X40" s="26" t="s">
        <v>222</v>
      </c>
      <c r="Y40" s="119">
        <v>8</v>
      </c>
      <c r="Z40" s="2">
        <v>2</v>
      </c>
      <c r="AA40" s="2">
        <v>28</v>
      </c>
      <c r="AB40" s="2">
        <v>4</v>
      </c>
      <c r="AC40" s="2">
        <v>124</v>
      </c>
      <c r="AD40" s="40">
        <v>127</v>
      </c>
    </row>
    <row r="41" spans="1:30" ht="14.5" customHeight="1">
      <c r="A41" s="14" t="s">
        <v>453</v>
      </c>
      <c r="B41" s="2" t="s">
        <v>1</v>
      </c>
      <c r="C41" s="5" t="s">
        <v>454</v>
      </c>
      <c r="D41" s="30">
        <v>0.83</v>
      </c>
      <c r="E41" s="30">
        <v>0.94750000000000001</v>
      </c>
      <c r="F41" s="100">
        <f t="shared" si="0"/>
        <v>78.642499999999998</v>
      </c>
      <c r="G41" s="106" t="s">
        <v>268</v>
      </c>
      <c r="H41" s="3" t="s">
        <v>258</v>
      </c>
      <c r="I41" s="3" t="s">
        <v>218</v>
      </c>
      <c r="J41" s="5" t="s">
        <v>145</v>
      </c>
      <c r="K41" s="109" t="s">
        <v>455</v>
      </c>
      <c r="L41" s="6" t="s">
        <v>12</v>
      </c>
      <c r="M41" s="6" t="s">
        <v>13</v>
      </c>
      <c r="N41" s="118" t="s">
        <v>250</v>
      </c>
      <c r="O41" s="119" t="s">
        <v>456</v>
      </c>
      <c r="P41" s="2">
        <v>107080</v>
      </c>
      <c r="Q41" s="2" t="s">
        <v>457</v>
      </c>
      <c r="R41" s="8">
        <v>0.38800000000000001</v>
      </c>
      <c r="S41" s="46">
        <v>155</v>
      </c>
      <c r="T41" s="46">
        <v>12</v>
      </c>
      <c r="U41" s="46">
        <v>3</v>
      </c>
      <c r="V41" s="26">
        <v>0</v>
      </c>
      <c r="W41" s="24" t="s">
        <v>421</v>
      </c>
      <c r="X41" s="26" t="s">
        <v>222</v>
      </c>
      <c r="Y41" s="119">
        <v>7</v>
      </c>
      <c r="Z41" s="2">
        <v>5</v>
      </c>
      <c r="AA41" s="2">
        <v>28</v>
      </c>
      <c r="AB41" s="2">
        <v>4</v>
      </c>
      <c r="AC41" s="2">
        <v>112</v>
      </c>
      <c r="AD41" s="40">
        <v>124</v>
      </c>
    </row>
    <row r="42" spans="1:30" ht="14.5" customHeight="1">
      <c r="A42" s="14" t="s">
        <v>458</v>
      </c>
      <c r="B42" s="2" t="s">
        <v>157</v>
      </c>
      <c r="C42" s="5" t="s">
        <v>459</v>
      </c>
      <c r="D42" s="30">
        <v>0.97</v>
      </c>
      <c r="E42" s="30">
        <v>0.99419999999999997</v>
      </c>
      <c r="F42" s="100">
        <f t="shared" si="0"/>
        <v>96.437399999999997</v>
      </c>
      <c r="G42" s="106" t="s">
        <v>661</v>
      </c>
      <c r="H42" s="3" t="s">
        <v>662</v>
      </c>
      <c r="I42" s="3" t="s">
        <v>460</v>
      </c>
      <c r="J42" s="5" t="s">
        <v>461</v>
      </c>
      <c r="K42" s="107" t="s">
        <v>462</v>
      </c>
      <c r="L42" s="6" t="s">
        <v>12</v>
      </c>
      <c r="M42" s="6" t="s">
        <v>463</v>
      </c>
      <c r="N42" s="118" t="s">
        <v>464</v>
      </c>
      <c r="O42" s="119" t="s">
        <v>465</v>
      </c>
      <c r="P42" s="2">
        <v>166861</v>
      </c>
      <c r="Q42" s="2" t="s">
        <v>327</v>
      </c>
      <c r="R42" s="8">
        <v>0.35399999999999998</v>
      </c>
      <c r="S42" s="46">
        <v>277</v>
      </c>
      <c r="T42" s="46">
        <v>11</v>
      </c>
      <c r="U42" s="46">
        <v>0</v>
      </c>
      <c r="V42" s="26">
        <v>1</v>
      </c>
      <c r="W42" s="25" t="s">
        <v>466</v>
      </c>
      <c r="X42" s="26" t="s">
        <v>467</v>
      </c>
      <c r="Y42" s="119">
        <v>5</v>
      </c>
      <c r="Z42" s="2">
        <v>10</v>
      </c>
      <c r="AA42" s="2">
        <v>142</v>
      </c>
      <c r="AB42" s="2">
        <v>52</v>
      </c>
      <c r="AC42" s="2">
        <v>169</v>
      </c>
      <c r="AD42" s="40">
        <v>214</v>
      </c>
    </row>
    <row r="43" spans="1:30" ht="14.5" customHeight="1">
      <c r="A43" s="14" t="s">
        <v>468</v>
      </c>
      <c r="B43" s="2" t="s">
        <v>157</v>
      </c>
      <c r="C43" s="5" t="s">
        <v>469</v>
      </c>
      <c r="D43" s="30">
        <v>0.93</v>
      </c>
      <c r="E43" s="30">
        <v>0.9486</v>
      </c>
      <c r="F43" s="100">
        <f t="shared" si="0"/>
        <v>88.219800000000006</v>
      </c>
      <c r="G43" s="106" t="s">
        <v>661</v>
      </c>
      <c r="H43" s="3" t="s">
        <v>662</v>
      </c>
      <c r="I43" s="3" t="s">
        <v>460</v>
      </c>
      <c r="J43" s="5" t="s">
        <v>145</v>
      </c>
      <c r="K43" s="107" t="s">
        <v>470</v>
      </c>
      <c r="L43" s="6" t="s">
        <v>225</v>
      </c>
      <c r="M43" s="6" t="s">
        <v>471</v>
      </c>
      <c r="N43" s="118" t="s">
        <v>472</v>
      </c>
      <c r="O43" s="119" t="s">
        <v>473</v>
      </c>
      <c r="P43" s="2">
        <v>167732</v>
      </c>
      <c r="Q43" s="2" t="s">
        <v>474</v>
      </c>
      <c r="R43" s="8">
        <v>0.35399999999999998</v>
      </c>
      <c r="S43" s="46">
        <v>272</v>
      </c>
      <c r="T43" s="46">
        <v>11</v>
      </c>
      <c r="U43" s="46">
        <v>0</v>
      </c>
      <c r="V43" s="26">
        <v>1</v>
      </c>
      <c r="W43" s="25" t="s">
        <v>466</v>
      </c>
      <c r="X43" s="26" t="s">
        <v>467</v>
      </c>
      <c r="Y43" s="119">
        <v>6</v>
      </c>
      <c r="Z43" s="2">
        <v>8</v>
      </c>
      <c r="AA43" s="2">
        <v>140</v>
      </c>
      <c r="AB43" s="2">
        <v>56</v>
      </c>
      <c r="AC43" s="2">
        <v>162</v>
      </c>
      <c r="AD43" s="40">
        <v>217</v>
      </c>
    </row>
    <row r="44" spans="1:30" ht="14.5" customHeight="1">
      <c r="A44" s="14" t="s">
        <v>475</v>
      </c>
      <c r="B44" s="2" t="s">
        <v>157</v>
      </c>
      <c r="C44" s="5" t="s">
        <v>476</v>
      </c>
      <c r="D44" s="30">
        <v>0.97</v>
      </c>
      <c r="E44" s="30">
        <v>0.97870000000000001</v>
      </c>
      <c r="F44" s="100">
        <f t="shared" si="0"/>
        <v>94.933899999999994</v>
      </c>
      <c r="G44" s="106" t="s">
        <v>661</v>
      </c>
      <c r="H44" s="3" t="s">
        <v>662</v>
      </c>
      <c r="I44" s="3" t="s">
        <v>460</v>
      </c>
      <c r="J44" s="5" t="s">
        <v>145</v>
      </c>
      <c r="K44" s="107" t="s">
        <v>477</v>
      </c>
      <c r="L44" s="6" t="s">
        <v>12</v>
      </c>
      <c r="M44" s="6" t="s">
        <v>13</v>
      </c>
      <c r="N44" s="118" t="s">
        <v>250</v>
      </c>
      <c r="O44" s="119" t="s">
        <v>478</v>
      </c>
      <c r="P44" s="2">
        <v>167832</v>
      </c>
      <c r="Q44" s="2" t="s">
        <v>479</v>
      </c>
      <c r="R44" s="8">
        <v>0.35399999999999998</v>
      </c>
      <c r="S44" s="46">
        <v>272</v>
      </c>
      <c r="T44" s="46">
        <v>10</v>
      </c>
      <c r="U44" s="46">
        <v>0</v>
      </c>
      <c r="V44" s="26">
        <v>1</v>
      </c>
      <c r="W44" s="25" t="s">
        <v>466</v>
      </c>
      <c r="X44" s="26" t="s">
        <v>467</v>
      </c>
      <c r="Y44" s="119">
        <v>4</v>
      </c>
      <c r="Z44" s="2">
        <v>7</v>
      </c>
      <c r="AA44" s="2">
        <v>132</v>
      </c>
      <c r="AB44" s="2">
        <v>50</v>
      </c>
      <c r="AC44" s="2">
        <v>163</v>
      </c>
      <c r="AD44" s="40">
        <v>212</v>
      </c>
    </row>
    <row r="45" spans="1:30" ht="14.5" customHeight="1">
      <c r="A45" s="14" t="s">
        <v>480</v>
      </c>
      <c r="B45" s="2" t="s">
        <v>157</v>
      </c>
      <c r="C45" s="5" t="s">
        <v>481</v>
      </c>
      <c r="D45" s="30">
        <v>0.94</v>
      </c>
      <c r="E45" s="30">
        <v>0.97470000000000001</v>
      </c>
      <c r="F45" s="100">
        <f t="shared" si="0"/>
        <v>91.621799999999993</v>
      </c>
      <c r="G45" s="106" t="s">
        <v>661</v>
      </c>
      <c r="H45" s="3" t="s">
        <v>662</v>
      </c>
      <c r="I45" s="3" t="s">
        <v>460</v>
      </c>
      <c r="J45" s="5" t="s">
        <v>145</v>
      </c>
      <c r="K45" s="107" t="s">
        <v>482</v>
      </c>
      <c r="L45" s="6" t="s">
        <v>96</v>
      </c>
      <c r="M45" s="6" t="s">
        <v>13</v>
      </c>
      <c r="N45" s="118" t="s">
        <v>219</v>
      </c>
      <c r="O45" s="119" t="s">
        <v>483</v>
      </c>
      <c r="P45" s="2">
        <v>167411</v>
      </c>
      <c r="Q45" s="2" t="s">
        <v>484</v>
      </c>
      <c r="R45" s="8">
        <v>0.35399999999999998</v>
      </c>
      <c r="S45" s="46">
        <v>273</v>
      </c>
      <c r="T45" s="46">
        <v>9</v>
      </c>
      <c r="U45" s="46">
        <v>0</v>
      </c>
      <c r="V45" s="26">
        <v>0</v>
      </c>
      <c r="W45" s="25" t="s">
        <v>485</v>
      </c>
      <c r="X45" s="26" t="s">
        <v>467</v>
      </c>
      <c r="Y45" s="119">
        <v>3</v>
      </c>
      <c r="Z45" s="2">
        <v>12</v>
      </c>
      <c r="AA45" s="2">
        <v>132</v>
      </c>
      <c r="AB45" s="2">
        <v>56</v>
      </c>
      <c r="AC45" s="2">
        <v>186</v>
      </c>
      <c r="AD45" s="40">
        <v>225</v>
      </c>
    </row>
    <row r="46" spans="1:30" ht="14.5" customHeight="1">
      <c r="A46" s="14" t="s">
        <v>486</v>
      </c>
      <c r="B46" s="2" t="s">
        <v>157</v>
      </c>
      <c r="C46" s="5" t="s">
        <v>487</v>
      </c>
      <c r="D46" s="30">
        <v>0.96</v>
      </c>
      <c r="E46" s="30">
        <v>0.9748</v>
      </c>
      <c r="F46" s="100">
        <f t="shared" si="0"/>
        <v>93.580799999999996</v>
      </c>
      <c r="G46" s="106" t="s">
        <v>661</v>
      </c>
      <c r="H46" s="3" t="s">
        <v>662</v>
      </c>
      <c r="I46" s="3" t="s">
        <v>460</v>
      </c>
      <c r="J46" s="5" t="s">
        <v>145</v>
      </c>
      <c r="K46" s="107" t="s">
        <v>488</v>
      </c>
      <c r="L46" s="6" t="s">
        <v>12</v>
      </c>
      <c r="M46" s="6" t="s">
        <v>13</v>
      </c>
      <c r="N46" s="118" t="s">
        <v>489</v>
      </c>
      <c r="O46" s="119" t="s">
        <v>490</v>
      </c>
      <c r="P46" s="2">
        <v>169509</v>
      </c>
      <c r="Q46" s="2" t="s">
        <v>491</v>
      </c>
      <c r="R46" s="8">
        <v>0.35399999999999998</v>
      </c>
      <c r="S46" s="46">
        <v>281</v>
      </c>
      <c r="T46" s="46">
        <v>11</v>
      </c>
      <c r="U46" s="46">
        <v>0</v>
      </c>
      <c r="V46" s="26">
        <v>0</v>
      </c>
      <c r="W46" s="25" t="s">
        <v>466</v>
      </c>
      <c r="X46" s="26" t="s">
        <v>467</v>
      </c>
      <c r="Y46" s="119">
        <v>5</v>
      </c>
      <c r="Z46" s="2">
        <v>8</v>
      </c>
      <c r="AA46" s="2">
        <v>136</v>
      </c>
      <c r="AB46" s="2">
        <v>44</v>
      </c>
      <c r="AC46" s="2">
        <v>179</v>
      </c>
      <c r="AD46" s="40">
        <v>219</v>
      </c>
    </row>
    <row r="47" spans="1:30" ht="14.5" customHeight="1">
      <c r="A47" s="14" t="s">
        <v>492</v>
      </c>
      <c r="B47" s="2" t="s">
        <v>157</v>
      </c>
      <c r="C47" s="5" t="s">
        <v>469</v>
      </c>
      <c r="D47" s="30">
        <v>0.95</v>
      </c>
      <c r="E47" s="30">
        <v>0.97189999999999999</v>
      </c>
      <c r="F47" s="100">
        <f t="shared" si="0"/>
        <v>92.330499999999986</v>
      </c>
      <c r="G47" s="106" t="s">
        <v>661</v>
      </c>
      <c r="H47" s="3" t="s">
        <v>662</v>
      </c>
      <c r="I47" s="3" t="s">
        <v>460</v>
      </c>
      <c r="J47" s="5" t="s">
        <v>145</v>
      </c>
      <c r="K47" s="107" t="s">
        <v>493</v>
      </c>
      <c r="L47" s="6" t="s">
        <v>12</v>
      </c>
      <c r="M47" s="6" t="s">
        <v>13</v>
      </c>
      <c r="N47" s="118" t="s">
        <v>219</v>
      </c>
      <c r="O47" s="119" t="s">
        <v>494</v>
      </c>
      <c r="P47" s="2">
        <v>164714</v>
      </c>
      <c r="Q47" s="2" t="s">
        <v>495</v>
      </c>
      <c r="R47" s="8">
        <v>0.35499999999999998</v>
      </c>
      <c r="S47" s="46">
        <v>267</v>
      </c>
      <c r="T47" s="46">
        <v>11</v>
      </c>
      <c r="U47" s="46">
        <v>0</v>
      </c>
      <c r="V47" s="26">
        <v>0</v>
      </c>
      <c r="W47" s="25" t="s">
        <v>496</v>
      </c>
      <c r="X47" s="26" t="s">
        <v>467</v>
      </c>
      <c r="Y47" s="119">
        <v>5</v>
      </c>
      <c r="Z47" s="2">
        <v>11</v>
      </c>
      <c r="AA47" s="2">
        <v>140</v>
      </c>
      <c r="AB47" s="2">
        <v>48</v>
      </c>
      <c r="AC47" s="2">
        <v>170</v>
      </c>
      <c r="AD47" s="40">
        <v>208</v>
      </c>
    </row>
    <row r="48" spans="1:30" ht="14.5" customHeight="1">
      <c r="A48" s="14" t="s">
        <v>497</v>
      </c>
      <c r="B48" s="2" t="s">
        <v>157</v>
      </c>
      <c r="C48" s="5" t="s">
        <v>498</v>
      </c>
      <c r="D48" s="30">
        <v>0.98</v>
      </c>
      <c r="E48" s="30">
        <v>0.97909999999999997</v>
      </c>
      <c r="F48" s="100">
        <f t="shared" si="0"/>
        <v>95.951799999999992</v>
      </c>
      <c r="G48" s="106" t="s">
        <v>661</v>
      </c>
      <c r="H48" s="3" t="s">
        <v>662</v>
      </c>
      <c r="I48" s="3" t="s">
        <v>460</v>
      </c>
      <c r="J48" s="5" t="s">
        <v>499</v>
      </c>
      <c r="K48" s="107" t="s">
        <v>500</v>
      </c>
      <c r="L48" s="6" t="s">
        <v>12</v>
      </c>
      <c r="M48" s="6" t="s">
        <v>13</v>
      </c>
      <c r="N48" s="118" t="s">
        <v>501</v>
      </c>
      <c r="O48" s="119" t="s">
        <v>502</v>
      </c>
      <c r="P48" s="2">
        <v>165574</v>
      </c>
      <c r="Q48" s="2" t="s">
        <v>503</v>
      </c>
      <c r="R48" s="8">
        <v>0.35399999999999998</v>
      </c>
      <c r="S48" s="46">
        <v>276</v>
      </c>
      <c r="T48" s="46">
        <v>11</v>
      </c>
      <c r="U48" s="46">
        <v>0</v>
      </c>
      <c r="V48" s="26">
        <v>0</v>
      </c>
      <c r="W48" s="25" t="s">
        <v>496</v>
      </c>
      <c r="X48" s="26" t="s">
        <v>467</v>
      </c>
      <c r="Y48" s="119">
        <v>7</v>
      </c>
      <c r="Z48" s="2">
        <v>9</v>
      </c>
      <c r="AA48" s="2">
        <v>134</v>
      </c>
      <c r="AB48" s="2">
        <v>46</v>
      </c>
      <c r="AC48" s="2">
        <v>173</v>
      </c>
      <c r="AD48" s="40">
        <v>208</v>
      </c>
    </row>
    <row r="49" spans="1:30" ht="14.5" customHeight="1">
      <c r="A49" s="14" t="s">
        <v>504</v>
      </c>
      <c r="B49" s="2" t="s">
        <v>157</v>
      </c>
      <c r="C49" s="5" t="s">
        <v>505</v>
      </c>
      <c r="D49" s="30">
        <v>0.94</v>
      </c>
      <c r="E49" s="30">
        <v>0.95350000000000001</v>
      </c>
      <c r="F49" s="100">
        <f t="shared" si="0"/>
        <v>89.628999999999991</v>
      </c>
      <c r="G49" s="106" t="s">
        <v>661</v>
      </c>
      <c r="H49" s="3" t="s">
        <v>662</v>
      </c>
      <c r="I49" s="3" t="s">
        <v>460</v>
      </c>
      <c r="J49" s="5" t="s">
        <v>506</v>
      </c>
      <c r="K49" s="108" t="s">
        <v>507</v>
      </c>
      <c r="L49" s="7" t="s">
        <v>12</v>
      </c>
      <c r="M49" s="7" t="s">
        <v>238</v>
      </c>
      <c r="N49" s="118" t="s">
        <v>92</v>
      </c>
      <c r="O49" s="119" t="s">
        <v>508</v>
      </c>
      <c r="P49" s="2">
        <v>168255</v>
      </c>
      <c r="Q49" s="2" t="s">
        <v>509</v>
      </c>
      <c r="R49" s="8">
        <v>0.35499999999999998</v>
      </c>
      <c r="S49" s="46">
        <v>277</v>
      </c>
      <c r="T49" s="46">
        <v>10</v>
      </c>
      <c r="U49" s="46">
        <v>0</v>
      </c>
      <c r="V49" s="26">
        <v>0</v>
      </c>
      <c r="W49" s="25" t="s">
        <v>496</v>
      </c>
      <c r="X49" s="26" t="s">
        <v>467</v>
      </c>
      <c r="Y49" s="119">
        <v>4</v>
      </c>
      <c r="Z49" s="2">
        <v>8</v>
      </c>
      <c r="AA49" s="2">
        <v>138</v>
      </c>
      <c r="AB49" s="2">
        <v>44</v>
      </c>
      <c r="AC49" s="2">
        <v>184</v>
      </c>
      <c r="AD49" s="40">
        <v>208</v>
      </c>
    </row>
    <row r="50" spans="1:30" ht="14.5" customHeight="1">
      <c r="A50" s="14" t="s">
        <v>510</v>
      </c>
      <c r="B50" s="2" t="s">
        <v>157</v>
      </c>
      <c r="C50" s="5" t="s">
        <v>511</v>
      </c>
      <c r="D50" s="30">
        <v>0.95</v>
      </c>
      <c r="E50" s="30">
        <v>0.97060000000000002</v>
      </c>
      <c r="F50" s="100">
        <f t="shared" si="0"/>
        <v>92.206999999999994</v>
      </c>
      <c r="G50" s="106" t="s">
        <v>661</v>
      </c>
      <c r="H50" s="3" t="s">
        <v>662</v>
      </c>
      <c r="I50" s="3" t="s">
        <v>460</v>
      </c>
      <c r="J50" s="5" t="s">
        <v>145</v>
      </c>
      <c r="K50" s="107" t="s">
        <v>512</v>
      </c>
      <c r="L50" s="7" t="s">
        <v>12</v>
      </c>
      <c r="M50" s="7" t="s">
        <v>238</v>
      </c>
      <c r="N50" s="118" t="s">
        <v>92</v>
      </c>
      <c r="O50" s="119" t="s">
        <v>513</v>
      </c>
      <c r="P50" s="2">
        <v>166115</v>
      </c>
      <c r="Q50" s="2" t="s">
        <v>495</v>
      </c>
      <c r="R50" s="8">
        <v>0.35399999999999998</v>
      </c>
      <c r="S50" s="46">
        <v>271</v>
      </c>
      <c r="T50" s="46">
        <v>10</v>
      </c>
      <c r="U50" s="46">
        <v>0</v>
      </c>
      <c r="V50" s="26">
        <v>1</v>
      </c>
      <c r="W50" s="25" t="s">
        <v>466</v>
      </c>
      <c r="X50" s="26" t="s">
        <v>467</v>
      </c>
      <c r="Y50" s="119">
        <v>3</v>
      </c>
      <c r="Z50" s="2">
        <v>8</v>
      </c>
      <c r="AA50" s="2">
        <v>142</v>
      </c>
      <c r="AB50" s="2">
        <v>50</v>
      </c>
      <c r="AC50" s="2">
        <v>190</v>
      </c>
      <c r="AD50" s="40">
        <v>221</v>
      </c>
    </row>
    <row r="51" spans="1:30" ht="14.5" customHeight="1">
      <c r="A51" s="14" t="s">
        <v>514</v>
      </c>
      <c r="B51" s="2" t="s">
        <v>157</v>
      </c>
      <c r="C51" s="5" t="s">
        <v>487</v>
      </c>
      <c r="D51" s="30">
        <v>0.98</v>
      </c>
      <c r="E51" s="30">
        <v>0.97540000000000004</v>
      </c>
      <c r="F51" s="100">
        <f t="shared" si="0"/>
        <v>95.589200000000005</v>
      </c>
      <c r="G51" s="106" t="s">
        <v>661</v>
      </c>
      <c r="H51" s="3" t="s">
        <v>662</v>
      </c>
      <c r="I51" s="3" t="s">
        <v>460</v>
      </c>
      <c r="J51" s="5" t="s">
        <v>515</v>
      </c>
      <c r="K51" s="108" t="s">
        <v>516</v>
      </c>
      <c r="L51" s="7" t="s">
        <v>12</v>
      </c>
      <c r="M51" s="7" t="s">
        <v>238</v>
      </c>
      <c r="N51" s="118" t="s">
        <v>92</v>
      </c>
      <c r="O51" s="119" t="s">
        <v>517</v>
      </c>
      <c r="P51" s="2">
        <v>166773</v>
      </c>
      <c r="Q51" s="2" t="s">
        <v>138</v>
      </c>
      <c r="R51" s="8">
        <v>0.35499999999999998</v>
      </c>
      <c r="S51" s="46">
        <v>275</v>
      </c>
      <c r="T51" s="46">
        <v>11</v>
      </c>
      <c r="U51" s="46">
        <v>0</v>
      </c>
      <c r="V51" s="26">
        <v>0</v>
      </c>
      <c r="W51" s="25" t="s">
        <v>496</v>
      </c>
      <c r="X51" s="26" t="s">
        <v>467</v>
      </c>
      <c r="Y51" s="119">
        <v>6</v>
      </c>
      <c r="Z51" s="2">
        <v>8</v>
      </c>
      <c r="AA51" s="2">
        <v>134</v>
      </c>
      <c r="AB51" s="2">
        <v>48</v>
      </c>
      <c r="AC51" s="2">
        <v>166</v>
      </c>
      <c r="AD51" s="40">
        <v>216</v>
      </c>
    </row>
    <row r="52" spans="1:30" ht="14.5" customHeight="1">
      <c r="A52" s="14" t="s">
        <v>518</v>
      </c>
      <c r="B52" s="2" t="s">
        <v>157</v>
      </c>
      <c r="C52" s="5" t="s">
        <v>487</v>
      </c>
      <c r="D52" s="30">
        <v>0.94</v>
      </c>
      <c r="E52" s="30">
        <v>0.96870000000000001</v>
      </c>
      <c r="F52" s="100">
        <f t="shared" si="0"/>
        <v>91.0578</v>
      </c>
      <c r="G52" s="106" t="s">
        <v>661</v>
      </c>
      <c r="H52" s="3" t="s">
        <v>662</v>
      </c>
      <c r="I52" s="3" t="s">
        <v>460</v>
      </c>
      <c r="J52" s="5" t="s">
        <v>145</v>
      </c>
      <c r="K52" s="107" t="s">
        <v>519</v>
      </c>
      <c r="L52" s="6" t="s">
        <v>12</v>
      </c>
      <c r="M52" s="6" t="s">
        <v>13</v>
      </c>
      <c r="N52" s="118" t="s">
        <v>92</v>
      </c>
      <c r="O52" s="119" t="s">
        <v>520</v>
      </c>
      <c r="P52" s="2">
        <v>170053</v>
      </c>
      <c r="Q52" s="2" t="s">
        <v>521</v>
      </c>
      <c r="R52" s="8">
        <v>0.35599999999999998</v>
      </c>
      <c r="S52" s="46">
        <v>278</v>
      </c>
      <c r="T52" s="46">
        <v>8</v>
      </c>
      <c r="U52" s="46">
        <v>0</v>
      </c>
      <c r="V52" s="26">
        <v>1</v>
      </c>
      <c r="W52" s="25" t="s">
        <v>522</v>
      </c>
      <c r="X52" s="26" t="s">
        <v>467</v>
      </c>
      <c r="Y52" s="119">
        <v>5</v>
      </c>
      <c r="Z52" s="2">
        <v>10</v>
      </c>
      <c r="AA52" s="2">
        <v>148</v>
      </c>
      <c r="AB52" s="2">
        <v>64</v>
      </c>
      <c r="AC52" s="2">
        <v>170</v>
      </c>
      <c r="AD52" s="40">
        <v>227</v>
      </c>
    </row>
    <row r="53" spans="1:30" ht="14.5" customHeight="1">
      <c r="A53" s="14" t="s">
        <v>523</v>
      </c>
      <c r="B53" s="2" t="s">
        <v>157</v>
      </c>
      <c r="C53" s="5" t="s">
        <v>524</v>
      </c>
      <c r="D53" s="30">
        <v>0.97</v>
      </c>
      <c r="E53" s="30">
        <v>0.97070000000000001</v>
      </c>
      <c r="F53" s="100">
        <f t="shared" si="0"/>
        <v>94.157899999999998</v>
      </c>
      <c r="G53" s="106" t="s">
        <v>661</v>
      </c>
      <c r="H53" s="3" t="s">
        <v>662</v>
      </c>
      <c r="I53" s="3" t="s">
        <v>525</v>
      </c>
      <c r="J53" s="5" t="s">
        <v>145</v>
      </c>
      <c r="K53" s="107" t="s">
        <v>526</v>
      </c>
      <c r="L53" s="6" t="s">
        <v>12</v>
      </c>
      <c r="M53" s="6" t="s">
        <v>13</v>
      </c>
      <c r="N53" s="118" t="s">
        <v>92</v>
      </c>
      <c r="O53" s="119" t="s">
        <v>527</v>
      </c>
      <c r="P53" s="2">
        <v>169031</v>
      </c>
      <c r="Q53" s="2" t="s">
        <v>452</v>
      </c>
      <c r="R53" s="8">
        <v>0.377</v>
      </c>
      <c r="S53" s="46">
        <v>269</v>
      </c>
      <c r="T53" s="46">
        <v>2</v>
      </c>
      <c r="U53" s="46">
        <v>0</v>
      </c>
      <c r="V53" s="26">
        <v>0</v>
      </c>
      <c r="W53" s="25" t="s">
        <v>485</v>
      </c>
      <c r="X53" s="26" t="s">
        <v>467</v>
      </c>
      <c r="Y53" s="119">
        <v>4</v>
      </c>
      <c r="Z53" s="2">
        <v>13</v>
      </c>
      <c r="AA53" s="2">
        <v>192</v>
      </c>
      <c r="AB53" s="2">
        <v>180</v>
      </c>
      <c r="AC53" s="2">
        <v>169</v>
      </c>
      <c r="AD53" s="40">
        <v>305</v>
      </c>
    </row>
    <row r="54" spans="1:30" ht="14.5" customHeight="1">
      <c r="A54" s="14" t="s">
        <v>528</v>
      </c>
      <c r="B54" s="2" t="s">
        <v>157</v>
      </c>
      <c r="C54" s="5" t="s">
        <v>529</v>
      </c>
      <c r="D54" s="30">
        <v>0.99</v>
      </c>
      <c r="E54" s="30">
        <v>0.97089999999999999</v>
      </c>
      <c r="F54" s="100">
        <f t="shared" si="0"/>
        <v>96.119100000000003</v>
      </c>
      <c r="G54" s="106" t="s">
        <v>661</v>
      </c>
      <c r="H54" s="3" t="s">
        <v>662</v>
      </c>
      <c r="I54" s="3" t="s">
        <v>525</v>
      </c>
      <c r="J54" s="3" t="s">
        <v>530</v>
      </c>
      <c r="K54" s="107" t="s">
        <v>531</v>
      </c>
      <c r="L54" s="6" t="s">
        <v>12</v>
      </c>
      <c r="M54" s="6" t="s">
        <v>13</v>
      </c>
      <c r="N54" s="118" t="s">
        <v>92</v>
      </c>
      <c r="O54" s="119" t="s">
        <v>532</v>
      </c>
      <c r="P54" s="2">
        <v>168968</v>
      </c>
      <c r="Q54" s="2" t="s">
        <v>409</v>
      </c>
      <c r="R54" s="8">
        <v>0.377</v>
      </c>
      <c r="S54" s="46">
        <v>271</v>
      </c>
      <c r="T54" s="46">
        <v>2</v>
      </c>
      <c r="U54" s="46">
        <v>0</v>
      </c>
      <c r="V54" s="26">
        <v>0</v>
      </c>
      <c r="W54" s="25" t="s">
        <v>485</v>
      </c>
      <c r="X54" s="26" t="s">
        <v>467</v>
      </c>
      <c r="Y54" s="119">
        <v>9</v>
      </c>
      <c r="Z54" s="2">
        <v>13</v>
      </c>
      <c r="AA54" s="2">
        <v>182</v>
      </c>
      <c r="AB54" s="2">
        <v>170</v>
      </c>
      <c r="AC54" s="2">
        <v>164</v>
      </c>
      <c r="AD54" s="40">
        <v>309</v>
      </c>
    </row>
    <row r="55" spans="1:30" ht="14.5" customHeight="1">
      <c r="A55" s="14" t="s">
        <v>533</v>
      </c>
      <c r="B55" s="2" t="s">
        <v>157</v>
      </c>
      <c r="C55" s="5" t="s">
        <v>534</v>
      </c>
      <c r="D55" s="30">
        <v>0.99</v>
      </c>
      <c r="E55" s="30">
        <v>0.98080000000000001</v>
      </c>
      <c r="F55" s="100">
        <f t="shared" si="0"/>
        <v>97.099199999999996</v>
      </c>
      <c r="G55" s="106"/>
      <c r="H55" s="3" t="s">
        <v>663</v>
      </c>
      <c r="I55" s="3" t="s">
        <v>535</v>
      </c>
      <c r="J55" s="5" t="s">
        <v>536</v>
      </c>
      <c r="K55" s="109" t="s">
        <v>537</v>
      </c>
      <c r="L55" s="6" t="s">
        <v>12</v>
      </c>
      <c r="M55" s="6" t="s">
        <v>13</v>
      </c>
      <c r="N55" s="118" t="s">
        <v>219</v>
      </c>
      <c r="O55" s="119" t="s">
        <v>538</v>
      </c>
      <c r="P55" s="2">
        <v>137623</v>
      </c>
      <c r="Q55" s="2" t="s">
        <v>539</v>
      </c>
      <c r="R55" s="8">
        <v>0.437</v>
      </c>
      <c r="S55" s="46">
        <v>229</v>
      </c>
      <c r="T55" s="46">
        <v>6</v>
      </c>
      <c r="U55" s="46">
        <v>0</v>
      </c>
      <c r="V55" s="26">
        <v>0</v>
      </c>
      <c r="W55" s="25" t="s">
        <v>664</v>
      </c>
      <c r="X55" s="26" t="s">
        <v>229</v>
      </c>
      <c r="Y55" s="119">
        <v>14</v>
      </c>
      <c r="Z55" s="2">
        <v>4</v>
      </c>
      <c r="AA55" s="2">
        <v>34</v>
      </c>
      <c r="AB55" s="2">
        <v>84</v>
      </c>
      <c r="AC55" s="2">
        <v>288</v>
      </c>
      <c r="AD55" s="40">
        <v>191</v>
      </c>
    </row>
    <row r="56" spans="1:30" ht="14.5" customHeight="1">
      <c r="A56" s="14" t="s">
        <v>540</v>
      </c>
      <c r="B56" s="2" t="s">
        <v>157</v>
      </c>
      <c r="C56" s="5" t="s">
        <v>541</v>
      </c>
      <c r="D56" s="30">
        <v>0.95</v>
      </c>
      <c r="E56" s="30">
        <v>0.96970000000000001</v>
      </c>
      <c r="F56" s="100">
        <f t="shared" si="0"/>
        <v>92.121499999999997</v>
      </c>
      <c r="G56" s="106"/>
      <c r="H56" s="3" t="s">
        <v>663</v>
      </c>
      <c r="I56" s="3" t="s">
        <v>535</v>
      </c>
      <c r="J56" s="5" t="s">
        <v>145</v>
      </c>
      <c r="K56" s="107" t="s">
        <v>542</v>
      </c>
      <c r="L56" s="6" t="s">
        <v>225</v>
      </c>
      <c r="M56" s="6" t="s">
        <v>471</v>
      </c>
      <c r="N56" s="118" t="s">
        <v>472</v>
      </c>
      <c r="O56" s="119" t="s">
        <v>543</v>
      </c>
      <c r="P56" s="2">
        <v>139980</v>
      </c>
      <c r="Q56" s="2" t="s">
        <v>544</v>
      </c>
      <c r="R56" s="8">
        <v>0.437</v>
      </c>
      <c r="S56" s="46">
        <v>227</v>
      </c>
      <c r="T56" s="46">
        <v>6</v>
      </c>
      <c r="U56" s="46">
        <v>0</v>
      </c>
      <c r="V56" s="26">
        <v>2</v>
      </c>
      <c r="W56" s="25" t="s">
        <v>664</v>
      </c>
      <c r="X56" s="26" t="s">
        <v>229</v>
      </c>
      <c r="Y56" s="119">
        <v>17</v>
      </c>
      <c r="Z56" s="2">
        <v>5</v>
      </c>
      <c r="AA56" s="2">
        <v>40</v>
      </c>
      <c r="AB56" s="2">
        <v>98</v>
      </c>
      <c r="AC56" s="2">
        <v>293</v>
      </c>
      <c r="AD56" s="40">
        <v>214</v>
      </c>
    </row>
    <row r="57" spans="1:30" ht="14.5" customHeight="1">
      <c r="A57" s="14" t="s">
        <v>545</v>
      </c>
      <c r="B57" s="2" t="s">
        <v>157</v>
      </c>
      <c r="C57" s="5" t="s">
        <v>541</v>
      </c>
      <c r="D57" s="30">
        <v>0.96</v>
      </c>
      <c r="E57" s="30">
        <v>0.9627</v>
      </c>
      <c r="F57" s="100">
        <f t="shared" si="0"/>
        <v>92.419200000000004</v>
      </c>
      <c r="G57" s="106"/>
      <c r="H57" s="3" t="s">
        <v>663</v>
      </c>
      <c r="I57" s="3" t="s">
        <v>535</v>
      </c>
      <c r="J57" s="5" t="s">
        <v>145</v>
      </c>
      <c r="K57" s="107" t="s">
        <v>546</v>
      </c>
      <c r="L57" s="6" t="s">
        <v>225</v>
      </c>
      <c r="M57" s="6" t="s">
        <v>547</v>
      </c>
      <c r="N57" s="118" t="s">
        <v>548</v>
      </c>
      <c r="O57" s="119" t="s">
        <v>549</v>
      </c>
      <c r="P57" s="2">
        <v>138240</v>
      </c>
      <c r="Q57" s="2" t="s">
        <v>503</v>
      </c>
      <c r="R57" s="8">
        <v>0.434</v>
      </c>
      <c r="S57" s="46">
        <v>228</v>
      </c>
      <c r="T57" s="46">
        <v>6</v>
      </c>
      <c r="U57" s="46">
        <v>0</v>
      </c>
      <c r="V57" s="26">
        <v>1</v>
      </c>
      <c r="W57" s="25" t="s">
        <v>664</v>
      </c>
      <c r="X57" s="26" t="s">
        <v>229</v>
      </c>
      <c r="Y57" s="119">
        <v>10</v>
      </c>
      <c r="Z57" s="2">
        <v>4</v>
      </c>
      <c r="AA57" s="2">
        <v>30</v>
      </c>
      <c r="AB57" s="2">
        <v>90</v>
      </c>
      <c r="AC57" s="2">
        <v>295</v>
      </c>
      <c r="AD57" s="40">
        <v>208</v>
      </c>
    </row>
    <row r="58" spans="1:30" ht="14.5" customHeight="1">
      <c r="A58" s="14" t="s">
        <v>550</v>
      </c>
      <c r="B58" s="2" t="s">
        <v>157</v>
      </c>
      <c r="C58" s="5" t="s">
        <v>541</v>
      </c>
      <c r="D58" s="30">
        <v>0.95</v>
      </c>
      <c r="E58" s="30">
        <v>0.95720000000000005</v>
      </c>
      <c r="F58" s="100">
        <f t="shared" si="0"/>
        <v>90.933999999999997</v>
      </c>
      <c r="G58" s="106"/>
      <c r="H58" s="3" t="s">
        <v>663</v>
      </c>
      <c r="I58" s="3" t="s">
        <v>535</v>
      </c>
      <c r="J58" s="5" t="s">
        <v>145</v>
      </c>
      <c r="K58" s="107" t="s">
        <v>551</v>
      </c>
      <c r="L58" s="6" t="s">
        <v>12</v>
      </c>
      <c r="M58" s="6" t="s">
        <v>13</v>
      </c>
      <c r="N58" s="118" t="s">
        <v>219</v>
      </c>
      <c r="O58" s="119" t="s">
        <v>552</v>
      </c>
      <c r="P58" s="2">
        <v>140659</v>
      </c>
      <c r="Q58" s="2" t="s">
        <v>553</v>
      </c>
      <c r="R58" s="8">
        <v>0.436</v>
      </c>
      <c r="S58" s="46">
        <v>230</v>
      </c>
      <c r="T58" s="46">
        <v>6</v>
      </c>
      <c r="U58" s="46">
        <v>0</v>
      </c>
      <c r="V58" s="26">
        <v>3</v>
      </c>
      <c r="W58" s="25" t="s">
        <v>664</v>
      </c>
      <c r="X58" s="26" t="s">
        <v>229</v>
      </c>
      <c r="Y58" s="119">
        <v>13</v>
      </c>
      <c r="Z58" s="2">
        <v>6</v>
      </c>
      <c r="AA58" s="2">
        <v>42</v>
      </c>
      <c r="AB58" s="2">
        <v>104</v>
      </c>
      <c r="AC58" s="2">
        <v>310</v>
      </c>
      <c r="AD58" s="40">
        <v>225</v>
      </c>
    </row>
    <row r="59" spans="1:30" ht="14.5" customHeight="1">
      <c r="A59" s="14" t="s">
        <v>554</v>
      </c>
      <c r="B59" s="2" t="s">
        <v>157</v>
      </c>
      <c r="C59" s="5" t="s">
        <v>555</v>
      </c>
      <c r="D59" s="30">
        <v>0.98</v>
      </c>
      <c r="E59" s="30">
        <v>0.97430000000000005</v>
      </c>
      <c r="F59" s="100">
        <f t="shared" si="0"/>
        <v>95.481400000000008</v>
      </c>
      <c r="G59" s="106"/>
      <c r="H59" s="3" t="s">
        <v>663</v>
      </c>
      <c r="I59" s="3" t="s">
        <v>535</v>
      </c>
      <c r="J59" s="5" t="s">
        <v>556</v>
      </c>
      <c r="K59" s="107" t="s">
        <v>557</v>
      </c>
      <c r="L59" s="6" t="s">
        <v>12</v>
      </c>
      <c r="M59" s="6" t="s">
        <v>13</v>
      </c>
      <c r="N59" s="118" t="s">
        <v>219</v>
      </c>
      <c r="O59" s="119" t="s">
        <v>558</v>
      </c>
      <c r="P59" s="2">
        <v>137380</v>
      </c>
      <c r="Q59" s="2" t="s">
        <v>559</v>
      </c>
      <c r="R59" s="8">
        <v>0.437</v>
      </c>
      <c r="S59" s="46">
        <v>225</v>
      </c>
      <c r="T59" s="46">
        <v>6</v>
      </c>
      <c r="U59" s="46">
        <v>0</v>
      </c>
      <c r="V59" s="26">
        <v>4</v>
      </c>
      <c r="W59" s="25" t="s">
        <v>664</v>
      </c>
      <c r="X59" s="26" t="s">
        <v>229</v>
      </c>
      <c r="Y59" s="119">
        <v>14</v>
      </c>
      <c r="Z59" s="2">
        <v>6</v>
      </c>
      <c r="AA59" s="2">
        <v>38</v>
      </c>
      <c r="AB59" s="2">
        <v>92</v>
      </c>
      <c r="AC59" s="2">
        <v>300</v>
      </c>
      <c r="AD59" s="40">
        <v>204</v>
      </c>
    </row>
    <row r="60" spans="1:30" ht="14.5" customHeight="1">
      <c r="A60" s="14" t="s">
        <v>560</v>
      </c>
      <c r="B60" s="2" t="s">
        <v>157</v>
      </c>
      <c r="C60" s="5" t="s">
        <v>555</v>
      </c>
      <c r="D60" s="30">
        <v>0.99</v>
      </c>
      <c r="E60" s="30">
        <v>0.96379999999999999</v>
      </c>
      <c r="F60" s="100">
        <f t="shared" si="0"/>
        <v>95.416199999999989</v>
      </c>
      <c r="G60" s="106"/>
      <c r="H60" s="3" t="s">
        <v>663</v>
      </c>
      <c r="I60" s="3" t="s">
        <v>535</v>
      </c>
      <c r="J60" s="5" t="s">
        <v>556</v>
      </c>
      <c r="K60" s="107" t="s">
        <v>561</v>
      </c>
      <c r="L60" s="6" t="s">
        <v>12</v>
      </c>
      <c r="M60" s="6" t="s">
        <v>13</v>
      </c>
      <c r="N60" s="118" t="s">
        <v>219</v>
      </c>
      <c r="O60" s="119" t="s">
        <v>562</v>
      </c>
      <c r="P60" s="2">
        <v>135602</v>
      </c>
      <c r="Q60" s="2" t="s">
        <v>563</v>
      </c>
      <c r="R60" s="8">
        <v>0.436</v>
      </c>
      <c r="S60" s="46">
        <v>223</v>
      </c>
      <c r="T60" s="46">
        <v>6</v>
      </c>
      <c r="U60" s="46">
        <v>0</v>
      </c>
      <c r="V60" s="26">
        <v>1</v>
      </c>
      <c r="W60" s="25" t="s">
        <v>664</v>
      </c>
      <c r="X60" s="26" t="s">
        <v>229</v>
      </c>
      <c r="Y60" s="119">
        <v>15</v>
      </c>
      <c r="Z60" s="2">
        <v>4</v>
      </c>
      <c r="AA60" s="2">
        <v>42</v>
      </c>
      <c r="AB60" s="2">
        <v>102</v>
      </c>
      <c r="AC60" s="2">
        <v>294</v>
      </c>
      <c r="AD60" s="40">
        <v>202</v>
      </c>
    </row>
    <row r="61" spans="1:30" ht="14.5" customHeight="1">
      <c r="A61" s="14" t="s">
        <v>564</v>
      </c>
      <c r="B61" s="2" t="s">
        <v>157</v>
      </c>
      <c r="C61" s="5" t="s">
        <v>565</v>
      </c>
      <c r="D61" s="30">
        <v>0.98</v>
      </c>
      <c r="E61" s="30">
        <v>0.97689999999999999</v>
      </c>
      <c r="F61" s="100">
        <f t="shared" si="0"/>
        <v>95.736199999999997</v>
      </c>
      <c r="G61" s="106"/>
      <c r="H61" s="3" t="s">
        <v>663</v>
      </c>
      <c r="I61" s="3" t="s">
        <v>535</v>
      </c>
      <c r="J61" s="5" t="s">
        <v>556</v>
      </c>
      <c r="K61" s="107" t="s">
        <v>566</v>
      </c>
      <c r="L61" s="6" t="s">
        <v>96</v>
      </c>
      <c r="M61" s="6" t="s">
        <v>13</v>
      </c>
      <c r="N61" s="118" t="s">
        <v>219</v>
      </c>
      <c r="O61" s="119" t="s">
        <v>567</v>
      </c>
      <c r="P61" s="2">
        <v>136346</v>
      </c>
      <c r="Q61" s="2" t="s">
        <v>568</v>
      </c>
      <c r="R61" s="8">
        <v>0.435</v>
      </c>
      <c r="S61" s="46">
        <v>221</v>
      </c>
      <c r="T61" s="46">
        <v>6</v>
      </c>
      <c r="U61" s="46">
        <v>0</v>
      </c>
      <c r="V61" s="26">
        <v>2</v>
      </c>
      <c r="W61" s="25" t="s">
        <v>664</v>
      </c>
      <c r="X61" s="26" t="s">
        <v>229</v>
      </c>
      <c r="Y61" s="119">
        <v>11</v>
      </c>
      <c r="Z61" s="2">
        <v>4</v>
      </c>
      <c r="AA61" s="2">
        <v>32</v>
      </c>
      <c r="AB61" s="2">
        <v>98</v>
      </c>
      <c r="AC61" s="2">
        <v>279</v>
      </c>
      <c r="AD61" s="40">
        <v>201</v>
      </c>
    </row>
    <row r="62" spans="1:30" ht="14.5" customHeight="1">
      <c r="A62" s="14" t="s">
        <v>569</v>
      </c>
      <c r="B62" s="2" t="s">
        <v>157</v>
      </c>
      <c r="C62" s="5" t="s">
        <v>570</v>
      </c>
      <c r="D62" s="30">
        <v>0.99</v>
      </c>
      <c r="E62" s="30">
        <v>0.97019999999999995</v>
      </c>
      <c r="F62" s="100">
        <f t="shared" si="0"/>
        <v>96.049799999999991</v>
      </c>
      <c r="G62" s="106"/>
      <c r="H62" s="3" t="s">
        <v>663</v>
      </c>
      <c r="I62" s="3" t="s">
        <v>535</v>
      </c>
      <c r="J62" s="5" t="s">
        <v>571</v>
      </c>
      <c r="K62" s="107" t="s">
        <v>572</v>
      </c>
      <c r="L62" s="6" t="s">
        <v>12</v>
      </c>
      <c r="M62" s="6" t="s">
        <v>238</v>
      </c>
      <c r="N62" s="118" t="s">
        <v>573</v>
      </c>
      <c r="O62" s="119" t="s">
        <v>574</v>
      </c>
      <c r="P62" s="2">
        <v>135630</v>
      </c>
      <c r="Q62" s="2" t="s">
        <v>575</v>
      </c>
      <c r="R62" s="8">
        <v>0.437</v>
      </c>
      <c r="S62" s="46">
        <v>223</v>
      </c>
      <c r="T62" s="46">
        <v>6</v>
      </c>
      <c r="U62" s="46">
        <v>0</v>
      </c>
      <c r="V62" s="26">
        <v>0</v>
      </c>
      <c r="W62" s="25" t="s">
        <v>664</v>
      </c>
      <c r="X62" s="26" t="s">
        <v>229</v>
      </c>
      <c r="Y62" s="119">
        <v>12</v>
      </c>
      <c r="Z62" s="2">
        <v>6</v>
      </c>
      <c r="AA62" s="2">
        <v>38</v>
      </c>
      <c r="AB62" s="2">
        <v>98</v>
      </c>
      <c r="AC62" s="2">
        <v>306</v>
      </c>
      <c r="AD62" s="40">
        <v>218</v>
      </c>
    </row>
    <row r="63" spans="1:30" ht="14.5" customHeight="1">
      <c r="A63" s="14" t="s">
        <v>576</v>
      </c>
      <c r="B63" s="2" t="s">
        <v>157</v>
      </c>
      <c r="C63" s="5" t="s">
        <v>577</v>
      </c>
      <c r="D63" s="30">
        <v>0.98</v>
      </c>
      <c r="E63" s="30">
        <v>0.97360000000000002</v>
      </c>
      <c r="F63" s="100">
        <f t="shared" si="0"/>
        <v>95.412800000000004</v>
      </c>
      <c r="G63" s="106"/>
      <c r="H63" s="3" t="s">
        <v>663</v>
      </c>
      <c r="I63" s="3" t="s">
        <v>535</v>
      </c>
      <c r="J63" s="5" t="s">
        <v>578</v>
      </c>
      <c r="K63" s="107" t="s">
        <v>579</v>
      </c>
      <c r="L63" s="6" t="s">
        <v>12</v>
      </c>
      <c r="M63" s="6" t="s">
        <v>13</v>
      </c>
      <c r="N63" s="118" t="s">
        <v>219</v>
      </c>
      <c r="O63" s="119" t="s">
        <v>580</v>
      </c>
      <c r="P63" s="2">
        <v>135345</v>
      </c>
      <c r="Q63" s="2" t="s">
        <v>221</v>
      </c>
      <c r="R63" s="8">
        <v>0.438</v>
      </c>
      <c r="S63" s="46">
        <v>221</v>
      </c>
      <c r="T63" s="46">
        <v>6</v>
      </c>
      <c r="U63" s="46">
        <v>0</v>
      </c>
      <c r="V63" s="26">
        <v>2</v>
      </c>
      <c r="W63" s="25" t="s">
        <v>664</v>
      </c>
      <c r="X63" s="26" t="s">
        <v>229</v>
      </c>
      <c r="Y63" s="119">
        <v>11</v>
      </c>
      <c r="Z63" s="2">
        <v>5</v>
      </c>
      <c r="AA63" s="2">
        <v>26</v>
      </c>
      <c r="AB63" s="2">
        <v>110</v>
      </c>
      <c r="AC63" s="2">
        <v>291</v>
      </c>
      <c r="AD63" s="40">
        <v>204</v>
      </c>
    </row>
    <row r="64" spans="1:30" ht="14.5" customHeight="1">
      <c r="A64" s="14" t="s">
        <v>581</v>
      </c>
      <c r="B64" s="2" t="s">
        <v>157</v>
      </c>
      <c r="C64" s="5" t="s">
        <v>577</v>
      </c>
      <c r="D64" s="30">
        <v>0.99</v>
      </c>
      <c r="E64" s="30">
        <v>0.97060000000000002</v>
      </c>
      <c r="F64" s="100">
        <f t="shared" si="0"/>
        <v>96.089399999999998</v>
      </c>
      <c r="G64" s="106"/>
      <c r="H64" s="3" t="s">
        <v>663</v>
      </c>
      <c r="I64" s="3" t="s">
        <v>535</v>
      </c>
      <c r="J64" s="5" t="s">
        <v>578</v>
      </c>
      <c r="K64" s="107" t="s">
        <v>582</v>
      </c>
      <c r="L64" s="6" t="s">
        <v>12</v>
      </c>
      <c r="M64" s="6" t="s">
        <v>13</v>
      </c>
      <c r="N64" s="118" t="s">
        <v>501</v>
      </c>
      <c r="O64" s="119" t="s">
        <v>583</v>
      </c>
      <c r="P64" s="2">
        <v>135061</v>
      </c>
      <c r="Q64" s="2" t="s">
        <v>539</v>
      </c>
      <c r="R64" s="8">
        <v>0.436</v>
      </c>
      <c r="S64" s="46">
        <v>225</v>
      </c>
      <c r="T64" s="46">
        <v>6</v>
      </c>
      <c r="U64" s="46">
        <v>0</v>
      </c>
      <c r="V64" s="26">
        <v>1</v>
      </c>
      <c r="W64" s="25" t="s">
        <v>664</v>
      </c>
      <c r="X64" s="26" t="s">
        <v>229</v>
      </c>
      <c r="Y64" s="119">
        <v>14</v>
      </c>
      <c r="Z64" s="2">
        <v>6</v>
      </c>
      <c r="AA64" s="2">
        <v>32</v>
      </c>
      <c r="AB64" s="2">
        <v>92</v>
      </c>
      <c r="AC64" s="2">
        <v>299</v>
      </c>
      <c r="AD64" s="40">
        <v>206</v>
      </c>
    </row>
    <row r="65" spans="1:30" ht="14.5" customHeight="1">
      <c r="A65" s="14" t="s">
        <v>584</v>
      </c>
      <c r="B65" s="2" t="s">
        <v>157</v>
      </c>
      <c r="C65" s="5" t="s">
        <v>585</v>
      </c>
      <c r="D65" s="30">
        <v>0.98</v>
      </c>
      <c r="E65" s="30">
        <v>0.97060000000000002</v>
      </c>
      <c r="F65" s="100">
        <f t="shared" si="0"/>
        <v>95.118800000000007</v>
      </c>
      <c r="G65" s="106"/>
      <c r="H65" s="3" t="s">
        <v>663</v>
      </c>
      <c r="I65" s="3" t="s">
        <v>535</v>
      </c>
      <c r="J65" s="5" t="s">
        <v>586</v>
      </c>
      <c r="K65" s="107" t="s">
        <v>587</v>
      </c>
      <c r="L65" s="6" t="s">
        <v>12</v>
      </c>
      <c r="M65" s="6" t="s">
        <v>13</v>
      </c>
      <c r="N65" s="118" t="s">
        <v>588</v>
      </c>
      <c r="O65" s="119" t="s">
        <v>589</v>
      </c>
      <c r="P65" s="2">
        <v>136906</v>
      </c>
      <c r="Q65" s="2" t="s">
        <v>590</v>
      </c>
      <c r="R65" s="8">
        <v>0.436</v>
      </c>
      <c r="S65" s="46">
        <v>225</v>
      </c>
      <c r="T65" s="46">
        <v>6</v>
      </c>
      <c r="U65" s="46">
        <v>0</v>
      </c>
      <c r="V65" s="26">
        <v>3</v>
      </c>
      <c r="W65" s="25" t="s">
        <v>664</v>
      </c>
      <c r="X65" s="26" t="s">
        <v>229</v>
      </c>
      <c r="Y65" s="119">
        <v>9</v>
      </c>
      <c r="Z65" s="2">
        <v>4</v>
      </c>
      <c r="AA65" s="2">
        <v>38</v>
      </c>
      <c r="AB65" s="2">
        <v>98</v>
      </c>
      <c r="AC65" s="2">
        <v>287</v>
      </c>
      <c r="AD65" s="40">
        <v>198</v>
      </c>
    </row>
    <row r="66" spans="1:30" ht="14.5" customHeight="1">
      <c r="A66" s="14" t="s">
        <v>591</v>
      </c>
      <c r="B66" s="2" t="s">
        <v>157</v>
      </c>
      <c r="C66" s="5" t="s">
        <v>585</v>
      </c>
      <c r="D66" s="30">
        <v>0.97</v>
      </c>
      <c r="E66" s="30">
        <v>0.96409999999999996</v>
      </c>
      <c r="F66" s="100">
        <f t="shared" si="0"/>
        <v>93.517699999999991</v>
      </c>
      <c r="G66" s="106"/>
      <c r="H66" s="3" t="s">
        <v>663</v>
      </c>
      <c r="I66" s="3" t="s">
        <v>535</v>
      </c>
      <c r="J66" s="5" t="s">
        <v>145</v>
      </c>
      <c r="K66" s="107" t="s">
        <v>592</v>
      </c>
      <c r="L66" s="6" t="s">
        <v>12</v>
      </c>
      <c r="M66" s="6" t="s">
        <v>13</v>
      </c>
      <c r="N66" s="118" t="s">
        <v>593</v>
      </c>
      <c r="O66" s="119" t="s">
        <v>594</v>
      </c>
      <c r="P66" s="2">
        <v>131526</v>
      </c>
      <c r="Q66" s="2" t="s">
        <v>595</v>
      </c>
      <c r="R66" s="8">
        <v>0.437</v>
      </c>
      <c r="S66" s="46">
        <v>208</v>
      </c>
      <c r="T66" s="46">
        <v>6</v>
      </c>
      <c r="U66" s="46">
        <v>0</v>
      </c>
      <c r="V66" s="26">
        <v>0</v>
      </c>
      <c r="W66" s="25" t="s">
        <v>664</v>
      </c>
      <c r="X66" s="26" t="s">
        <v>229</v>
      </c>
      <c r="Y66" s="119">
        <v>15</v>
      </c>
      <c r="Z66" s="2">
        <v>5</v>
      </c>
      <c r="AA66" s="2">
        <v>34</v>
      </c>
      <c r="AB66" s="2">
        <v>102</v>
      </c>
      <c r="AC66" s="2">
        <v>296</v>
      </c>
      <c r="AD66" s="40">
        <v>209</v>
      </c>
    </row>
    <row r="67" spans="1:30" ht="14.5" customHeight="1">
      <c r="A67" s="14" t="s">
        <v>223</v>
      </c>
      <c r="B67" s="2" t="s">
        <v>157</v>
      </c>
      <c r="C67" s="5" t="s">
        <v>224</v>
      </c>
      <c r="D67" s="30">
        <v>0.95</v>
      </c>
      <c r="E67" s="30">
        <v>0.98309999999999997</v>
      </c>
      <c r="F67" s="100">
        <f t="shared" si="0"/>
        <v>93.394499999999994</v>
      </c>
      <c r="G67" s="106"/>
      <c r="H67" s="3" t="s">
        <v>261</v>
      </c>
      <c r="I67" s="3" t="s">
        <v>260</v>
      </c>
      <c r="J67" s="5" t="s">
        <v>145</v>
      </c>
      <c r="K67" s="109" t="s">
        <v>596</v>
      </c>
      <c r="L67" s="6" t="s">
        <v>225</v>
      </c>
      <c r="M67" s="6" t="s">
        <v>226</v>
      </c>
      <c r="N67" s="118" t="s">
        <v>92</v>
      </c>
      <c r="O67" s="119" t="s">
        <v>227</v>
      </c>
      <c r="P67" s="2">
        <v>150425</v>
      </c>
      <c r="Q67" s="2" t="s">
        <v>228</v>
      </c>
      <c r="R67" s="8">
        <v>0.375</v>
      </c>
      <c r="S67" s="46">
        <v>264</v>
      </c>
      <c r="T67" s="46">
        <v>14</v>
      </c>
      <c r="U67" s="46">
        <v>2</v>
      </c>
      <c r="V67" s="26">
        <v>1</v>
      </c>
      <c r="W67" s="25" t="s">
        <v>265</v>
      </c>
      <c r="X67" s="26" t="s">
        <v>229</v>
      </c>
      <c r="Y67" s="119">
        <v>12</v>
      </c>
      <c r="Z67" s="2">
        <v>9</v>
      </c>
      <c r="AA67" s="2">
        <v>68</v>
      </c>
      <c r="AB67" s="2">
        <v>108</v>
      </c>
      <c r="AC67" s="2">
        <v>221</v>
      </c>
      <c r="AD67" s="40">
        <v>131</v>
      </c>
    </row>
    <row r="68" spans="1:30" ht="14.5" customHeight="1">
      <c r="A68" s="47" t="s">
        <v>230</v>
      </c>
      <c r="B68" s="48" t="s">
        <v>157</v>
      </c>
      <c r="C68" s="7" t="s">
        <v>231</v>
      </c>
      <c r="D68" s="49">
        <v>0.98</v>
      </c>
      <c r="E68" s="49">
        <v>0.98860000000000003</v>
      </c>
      <c r="F68" s="101">
        <f t="shared" si="0"/>
        <v>96.882800000000003</v>
      </c>
      <c r="G68" s="110"/>
      <c r="H68" s="28" t="s">
        <v>261</v>
      </c>
      <c r="I68" s="28" t="s">
        <v>260</v>
      </c>
      <c r="J68" s="7" t="s">
        <v>145</v>
      </c>
      <c r="K68" s="111" t="s">
        <v>597</v>
      </c>
      <c r="L68" s="6" t="s">
        <v>232</v>
      </c>
      <c r="M68" s="6" t="s">
        <v>233</v>
      </c>
      <c r="N68" s="118" t="s">
        <v>234</v>
      </c>
      <c r="O68" s="119" t="s">
        <v>235</v>
      </c>
      <c r="P68" s="48">
        <v>146666</v>
      </c>
      <c r="Q68" s="48" t="s">
        <v>236</v>
      </c>
      <c r="R68" s="51">
        <v>0.374</v>
      </c>
      <c r="S68" s="53">
        <v>264</v>
      </c>
      <c r="T68" s="53">
        <v>14</v>
      </c>
      <c r="U68" s="53">
        <v>0</v>
      </c>
      <c r="V68" s="128">
        <v>0</v>
      </c>
      <c r="W68" s="52" t="s">
        <v>265</v>
      </c>
      <c r="X68" s="128" t="s">
        <v>229</v>
      </c>
      <c r="Y68" s="131">
        <v>12</v>
      </c>
      <c r="Z68" s="48">
        <v>7</v>
      </c>
      <c r="AA68" s="48">
        <v>70</v>
      </c>
      <c r="AB68" s="48">
        <v>100</v>
      </c>
      <c r="AC68" s="48">
        <v>212</v>
      </c>
      <c r="AD68" s="64">
        <v>114</v>
      </c>
    </row>
    <row r="69" spans="1:30" ht="14.5" customHeight="1">
      <c r="A69" s="47" t="s">
        <v>237</v>
      </c>
      <c r="B69" s="48" t="s">
        <v>157</v>
      </c>
      <c r="C69" s="7" t="s">
        <v>224</v>
      </c>
      <c r="D69" s="49">
        <v>0.98</v>
      </c>
      <c r="E69" s="49">
        <v>0.97170000000000001</v>
      </c>
      <c r="F69" s="101">
        <f t="shared" si="0"/>
        <v>95.226599999999991</v>
      </c>
      <c r="G69" s="110"/>
      <c r="H69" s="28" t="s">
        <v>261</v>
      </c>
      <c r="I69" s="28" t="s">
        <v>260</v>
      </c>
      <c r="J69" s="7" t="s">
        <v>145</v>
      </c>
      <c r="K69" s="111" t="s">
        <v>598</v>
      </c>
      <c r="L69" s="6" t="s">
        <v>12</v>
      </c>
      <c r="M69" s="6" t="s">
        <v>238</v>
      </c>
      <c r="N69" s="118" t="s">
        <v>599</v>
      </c>
      <c r="O69" s="119" t="s">
        <v>239</v>
      </c>
      <c r="P69" s="48">
        <v>144831</v>
      </c>
      <c r="Q69" s="48" t="s">
        <v>240</v>
      </c>
      <c r="R69" s="51">
        <v>0.374</v>
      </c>
      <c r="S69" s="53">
        <v>258</v>
      </c>
      <c r="T69" s="53">
        <v>14</v>
      </c>
      <c r="U69" s="53">
        <v>1</v>
      </c>
      <c r="V69" s="128">
        <v>1</v>
      </c>
      <c r="W69" s="52" t="s">
        <v>265</v>
      </c>
      <c r="X69" s="128" t="s">
        <v>229</v>
      </c>
      <c r="Y69" s="131">
        <v>14</v>
      </c>
      <c r="Z69" s="48">
        <v>8</v>
      </c>
      <c r="AA69" s="48">
        <v>68</v>
      </c>
      <c r="AB69" s="48">
        <v>120</v>
      </c>
      <c r="AC69" s="48">
        <v>213</v>
      </c>
      <c r="AD69" s="64">
        <v>117</v>
      </c>
    </row>
    <row r="70" spans="1:30" ht="14.5" customHeight="1">
      <c r="A70" s="47" t="s">
        <v>241</v>
      </c>
      <c r="B70" s="2" t="s">
        <v>157</v>
      </c>
      <c r="C70" s="5" t="s">
        <v>242</v>
      </c>
      <c r="D70" s="30">
        <v>0.96</v>
      </c>
      <c r="E70" s="30">
        <v>0.95479999999999998</v>
      </c>
      <c r="F70" s="100">
        <f t="shared" si="0"/>
        <v>91.660799999999995</v>
      </c>
      <c r="G70" s="106"/>
      <c r="H70" s="3" t="s">
        <v>259</v>
      </c>
      <c r="I70" s="3" t="s">
        <v>243</v>
      </c>
      <c r="J70" s="5" t="s">
        <v>145</v>
      </c>
      <c r="K70" s="108" t="s">
        <v>263</v>
      </c>
      <c r="L70" s="7" t="s">
        <v>12</v>
      </c>
      <c r="M70" s="7" t="s">
        <v>238</v>
      </c>
      <c r="N70" s="118" t="s">
        <v>92</v>
      </c>
      <c r="O70" s="119" t="s">
        <v>244</v>
      </c>
      <c r="P70" s="2">
        <v>87100</v>
      </c>
      <c r="Q70" s="2" t="s">
        <v>245</v>
      </c>
      <c r="R70" s="8">
        <v>0.39</v>
      </c>
      <c r="S70" s="46">
        <v>136</v>
      </c>
      <c r="T70" s="46">
        <v>25</v>
      </c>
      <c r="U70" s="46">
        <v>0</v>
      </c>
      <c r="V70" s="26">
        <v>1</v>
      </c>
      <c r="W70" s="24" t="s">
        <v>665</v>
      </c>
      <c r="X70" s="26" t="s">
        <v>600</v>
      </c>
      <c r="Y70" s="119">
        <v>9</v>
      </c>
      <c r="Z70" s="2">
        <v>9</v>
      </c>
      <c r="AA70" s="2">
        <v>0</v>
      </c>
      <c r="AB70" s="2">
        <v>82</v>
      </c>
      <c r="AC70" s="2">
        <v>166</v>
      </c>
      <c r="AD70" s="40">
        <v>177</v>
      </c>
    </row>
    <row r="71" spans="1:30" ht="14.5" customHeight="1">
      <c r="A71" s="47" t="s">
        <v>601</v>
      </c>
      <c r="B71" s="2" t="s">
        <v>158</v>
      </c>
      <c r="C71" s="5" t="s">
        <v>602</v>
      </c>
      <c r="D71" s="30">
        <v>0.92</v>
      </c>
      <c r="E71" s="30">
        <v>0.92059999999999997</v>
      </c>
      <c r="F71" s="100">
        <f t="shared" si="0"/>
        <v>84.6952</v>
      </c>
      <c r="G71" s="106" t="s">
        <v>160</v>
      </c>
      <c r="H71" s="3" t="s">
        <v>161</v>
      </c>
      <c r="I71" s="3" t="s">
        <v>162</v>
      </c>
      <c r="J71" s="5" t="s">
        <v>145</v>
      </c>
      <c r="K71" s="107" t="s">
        <v>603</v>
      </c>
      <c r="L71" s="6" t="s">
        <v>12</v>
      </c>
      <c r="M71" s="6" t="s">
        <v>13</v>
      </c>
      <c r="N71" s="118" t="s">
        <v>92</v>
      </c>
      <c r="O71" s="119" t="s">
        <v>604</v>
      </c>
      <c r="P71" s="2">
        <v>39842</v>
      </c>
      <c r="Q71" s="2" t="s">
        <v>605</v>
      </c>
      <c r="R71" s="8">
        <v>0.48499999999999999</v>
      </c>
      <c r="S71" s="46">
        <v>51</v>
      </c>
      <c r="T71" s="46">
        <v>0</v>
      </c>
      <c r="U71" s="46">
        <v>0</v>
      </c>
      <c r="V71" s="26">
        <v>1</v>
      </c>
      <c r="W71" s="24"/>
      <c r="X71" s="26" t="s">
        <v>600</v>
      </c>
      <c r="Y71" s="119">
        <v>4</v>
      </c>
      <c r="Z71" s="2">
        <v>2</v>
      </c>
      <c r="AA71" s="2">
        <v>0</v>
      </c>
      <c r="AB71" s="2">
        <v>2</v>
      </c>
      <c r="AC71" s="2">
        <v>94</v>
      </c>
      <c r="AD71" s="40">
        <v>131</v>
      </c>
    </row>
    <row r="72" spans="1:30" ht="14.5" customHeight="1">
      <c r="A72" s="47" t="s">
        <v>606</v>
      </c>
      <c r="B72" s="2" t="s">
        <v>158</v>
      </c>
      <c r="C72" s="5" t="s">
        <v>607</v>
      </c>
      <c r="D72" s="30">
        <v>0.91</v>
      </c>
      <c r="E72" s="30">
        <v>0.93500000000000005</v>
      </c>
      <c r="F72" s="100">
        <f t="shared" ref="F72" si="1">100*(D72*E72)</f>
        <v>85.085000000000008</v>
      </c>
      <c r="G72" s="106" t="s">
        <v>160</v>
      </c>
      <c r="H72" s="3" t="s">
        <v>161</v>
      </c>
      <c r="I72" s="3" t="s">
        <v>162</v>
      </c>
      <c r="J72" s="5" t="s">
        <v>145</v>
      </c>
      <c r="K72" s="107" t="s">
        <v>608</v>
      </c>
      <c r="L72" s="6" t="s">
        <v>12</v>
      </c>
      <c r="M72" s="6" t="s">
        <v>13</v>
      </c>
      <c r="N72" s="118" t="s">
        <v>92</v>
      </c>
      <c r="O72" s="119" t="s">
        <v>609</v>
      </c>
      <c r="P72" s="2">
        <v>39451</v>
      </c>
      <c r="Q72" s="2" t="s">
        <v>610</v>
      </c>
      <c r="R72" s="8">
        <v>0.48699999999999999</v>
      </c>
      <c r="S72" s="46">
        <v>50</v>
      </c>
      <c r="T72" s="46">
        <v>0</v>
      </c>
      <c r="U72" s="46">
        <v>0</v>
      </c>
      <c r="V72" s="26">
        <v>0</v>
      </c>
      <c r="W72" s="24"/>
      <c r="X72" s="26" t="s">
        <v>600</v>
      </c>
      <c r="Y72" s="119">
        <v>4</v>
      </c>
      <c r="Z72" s="2">
        <v>0</v>
      </c>
      <c r="AA72" s="2">
        <v>0</v>
      </c>
      <c r="AB72" s="2">
        <v>0</v>
      </c>
      <c r="AC72" s="2">
        <v>85</v>
      </c>
      <c r="AD72" s="40">
        <v>119</v>
      </c>
    </row>
    <row r="73" spans="1:30" ht="14.5" customHeight="1">
      <c r="A73" s="47" t="s">
        <v>611</v>
      </c>
      <c r="B73" s="2" t="s">
        <v>158</v>
      </c>
      <c r="C73" s="7" t="s">
        <v>215</v>
      </c>
      <c r="D73" s="50" t="s">
        <v>215</v>
      </c>
      <c r="E73" s="50" t="s">
        <v>215</v>
      </c>
      <c r="F73" s="101" t="s">
        <v>215</v>
      </c>
      <c r="G73" s="106" t="s">
        <v>160</v>
      </c>
      <c r="H73" s="3" t="s">
        <v>161</v>
      </c>
      <c r="I73" s="3" t="s">
        <v>612</v>
      </c>
      <c r="J73" s="3" t="s">
        <v>613</v>
      </c>
      <c r="K73" s="109" t="s">
        <v>614</v>
      </c>
      <c r="L73" s="6" t="s">
        <v>12</v>
      </c>
      <c r="M73" s="6" t="s">
        <v>615</v>
      </c>
      <c r="N73" s="118" t="s">
        <v>616</v>
      </c>
      <c r="O73" s="119" t="s">
        <v>215</v>
      </c>
      <c r="P73" s="2">
        <v>38194</v>
      </c>
      <c r="Q73" s="2" t="s">
        <v>215</v>
      </c>
      <c r="R73" s="8">
        <v>0.499</v>
      </c>
      <c r="S73" s="46">
        <v>46</v>
      </c>
      <c r="T73" s="46">
        <v>0</v>
      </c>
      <c r="U73" s="46">
        <v>0</v>
      </c>
      <c r="V73" s="26">
        <v>0</v>
      </c>
      <c r="W73" s="24"/>
      <c r="X73" s="26" t="s">
        <v>600</v>
      </c>
      <c r="Y73" s="119">
        <v>4</v>
      </c>
      <c r="Z73" s="2">
        <v>5</v>
      </c>
      <c r="AA73" s="2">
        <v>0</v>
      </c>
      <c r="AB73" s="2">
        <v>10</v>
      </c>
      <c r="AC73" s="2">
        <v>84</v>
      </c>
      <c r="AD73" s="40">
        <v>156</v>
      </c>
    </row>
    <row r="74" spans="1:30" ht="14.5" customHeight="1">
      <c r="A74" s="47" t="s">
        <v>617</v>
      </c>
      <c r="B74" s="2" t="s">
        <v>158</v>
      </c>
      <c r="C74" s="5" t="s">
        <v>618</v>
      </c>
      <c r="D74" s="30">
        <v>0.95</v>
      </c>
      <c r="E74" s="30">
        <v>0.92079999999999995</v>
      </c>
      <c r="F74" s="100">
        <f>100*(D74*E74)</f>
        <v>87.475999999999985</v>
      </c>
      <c r="G74" s="106" t="s">
        <v>160</v>
      </c>
      <c r="H74" s="3" t="s">
        <v>161</v>
      </c>
      <c r="I74" s="3" t="s">
        <v>619</v>
      </c>
      <c r="J74" s="5" t="s">
        <v>145</v>
      </c>
      <c r="K74" s="107" t="s">
        <v>620</v>
      </c>
      <c r="L74" s="6" t="s">
        <v>12</v>
      </c>
      <c r="M74" s="6" t="s">
        <v>13</v>
      </c>
      <c r="N74" s="118" t="s">
        <v>92</v>
      </c>
      <c r="O74" s="119" t="s">
        <v>621</v>
      </c>
      <c r="P74" s="2">
        <v>39315</v>
      </c>
      <c r="Q74" s="2" t="s">
        <v>622</v>
      </c>
      <c r="R74" s="8">
        <v>0.49</v>
      </c>
      <c r="S74" s="46">
        <v>48</v>
      </c>
      <c r="T74" s="46">
        <v>0</v>
      </c>
      <c r="U74" s="46">
        <v>0</v>
      </c>
      <c r="V74" s="26">
        <v>0</v>
      </c>
      <c r="W74" s="24"/>
      <c r="X74" s="26" t="s">
        <v>600</v>
      </c>
      <c r="Y74" s="119">
        <v>5</v>
      </c>
      <c r="Z74" s="2">
        <v>3</v>
      </c>
      <c r="AA74" s="2">
        <v>0</v>
      </c>
      <c r="AB74" s="2">
        <v>0</v>
      </c>
      <c r="AC74" s="2">
        <v>118</v>
      </c>
      <c r="AD74" s="40">
        <v>134</v>
      </c>
    </row>
    <row r="75" spans="1:30" ht="14.5" customHeight="1">
      <c r="A75" s="47" t="s">
        <v>623</v>
      </c>
      <c r="B75" s="2" t="s">
        <v>158</v>
      </c>
      <c r="C75" s="5" t="s">
        <v>618</v>
      </c>
      <c r="D75" s="30">
        <v>0.99</v>
      </c>
      <c r="E75" s="30">
        <v>0.93479999999999996</v>
      </c>
      <c r="F75" s="100">
        <f>100*(D75*E75)</f>
        <v>92.545199999999994</v>
      </c>
      <c r="G75" s="106" t="s">
        <v>160</v>
      </c>
      <c r="H75" s="3" t="s">
        <v>161</v>
      </c>
      <c r="I75" s="3" t="s">
        <v>619</v>
      </c>
      <c r="J75" s="5" t="s">
        <v>145</v>
      </c>
      <c r="K75" s="109" t="s">
        <v>624</v>
      </c>
      <c r="L75" s="6" t="s">
        <v>12</v>
      </c>
      <c r="M75" s="6" t="s">
        <v>388</v>
      </c>
      <c r="N75" s="118" t="s">
        <v>92</v>
      </c>
      <c r="O75" s="119" t="s">
        <v>625</v>
      </c>
      <c r="P75" s="2">
        <v>39466</v>
      </c>
      <c r="Q75" s="2" t="s">
        <v>626</v>
      </c>
      <c r="R75" s="8">
        <v>0.48699999999999999</v>
      </c>
      <c r="S75" s="46">
        <v>49</v>
      </c>
      <c r="T75" s="46">
        <v>0</v>
      </c>
      <c r="U75" s="46">
        <v>0</v>
      </c>
      <c r="V75" s="26">
        <v>0</v>
      </c>
      <c r="W75" s="24"/>
      <c r="X75" s="26" t="s">
        <v>600</v>
      </c>
      <c r="Y75" s="119">
        <v>5</v>
      </c>
      <c r="Z75" s="2">
        <v>5</v>
      </c>
      <c r="AA75" s="2">
        <v>0</v>
      </c>
      <c r="AB75" s="2">
        <v>0</v>
      </c>
      <c r="AC75" s="2">
        <v>116</v>
      </c>
      <c r="AD75" s="40">
        <v>142</v>
      </c>
    </row>
    <row r="76" spans="1:30" ht="14.5" customHeight="1">
      <c r="A76" s="47" t="s">
        <v>246</v>
      </c>
      <c r="B76" s="2" t="s">
        <v>158</v>
      </c>
      <c r="C76" s="5" t="s">
        <v>247</v>
      </c>
      <c r="D76" s="30">
        <v>1</v>
      </c>
      <c r="E76" s="30">
        <v>0.99119999999999997</v>
      </c>
      <c r="F76" s="100">
        <f>100*(D76*E76)</f>
        <v>99.11999999999999</v>
      </c>
      <c r="G76" s="106" t="s">
        <v>153</v>
      </c>
      <c r="H76" s="3" t="s">
        <v>154</v>
      </c>
      <c r="I76" s="3" t="s">
        <v>248</v>
      </c>
      <c r="J76" s="5" t="s">
        <v>249</v>
      </c>
      <c r="K76" s="109" t="s">
        <v>627</v>
      </c>
      <c r="L76" s="6" t="s">
        <v>12</v>
      </c>
      <c r="M76" s="6" t="s">
        <v>13</v>
      </c>
      <c r="N76" s="118" t="s">
        <v>250</v>
      </c>
      <c r="O76" s="119" t="s">
        <v>251</v>
      </c>
      <c r="P76" s="2">
        <v>70849</v>
      </c>
      <c r="Q76" s="2" t="s">
        <v>252</v>
      </c>
      <c r="R76" s="8">
        <v>0.41299999999999998</v>
      </c>
      <c r="S76" s="46">
        <v>82</v>
      </c>
      <c r="T76" s="46">
        <v>4</v>
      </c>
      <c r="U76" s="46">
        <v>0</v>
      </c>
      <c r="V76" s="26">
        <v>1</v>
      </c>
      <c r="W76" s="25"/>
      <c r="X76" s="26" t="s">
        <v>265</v>
      </c>
      <c r="Y76" s="119">
        <v>6</v>
      </c>
      <c r="Z76" s="2">
        <v>5</v>
      </c>
      <c r="AA76" s="2">
        <v>0</v>
      </c>
      <c r="AB76" s="2">
        <v>0</v>
      </c>
      <c r="AC76" s="2">
        <v>83</v>
      </c>
      <c r="AD76" s="40">
        <v>147</v>
      </c>
    </row>
    <row r="77" spans="1:30" ht="14.5" customHeight="1">
      <c r="A77" s="14" t="s">
        <v>31</v>
      </c>
      <c r="B77" s="2" t="s">
        <v>1</v>
      </c>
      <c r="C77" s="2" t="s">
        <v>68</v>
      </c>
      <c r="D77" s="30">
        <v>0.9</v>
      </c>
      <c r="E77" s="30">
        <v>0.94899999999999995</v>
      </c>
      <c r="F77" s="100">
        <f t="shared" ref="F77:F113" si="2">100*(D77*E77)</f>
        <v>85.41</v>
      </c>
      <c r="G77" s="112"/>
      <c r="H77" s="3" t="s">
        <v>149</v>
      </c>
      <c r="I77" s="4" t="s">
        <v>147</v>
      </c>
      <c r="J77" s="5" t="s">
        <v>145</v>
      </c>
      <c r="K77" s="32" t="s">
        <v>169</v>
      </c>
      <c r="L77" s="6" t="s">
        <v>12</v>
      </c>
      <c r="M77" s="6" t="s">
        <v>91</v>
      </c>
      <c r="N77" s="118" t="s">
        <v>93</v>
      </c>
      <c r="O77" s="124" t="s">
        <v>690</v>
      </c>
      <c r="P77" s="37">
        <v>43265</v>
      </c>
      <c r="Q77" s="2" t="s">
        <v>110</v>
      </c>
      <c r="R77" s="8">
        <v>0.51100000000000001</v>
      </c>
      <c r="S77" s="46">
        <v>83</v>
      </c>
      <c r="T77" s="46">
        <v>0</v>
      </c>
      <c r="U77" s="46">
        <v>0</v>
      </c>
      <c r="V77" s="26">
        <v>0</v>
      </c>
      <c r="W77" s="24"/>
      <c r="X77" s="26" t="s">
        <v>206</v>
      </c>
      <c r="Y77" s="119">
        <v>5</v>
      </c>
      <c r="Z77" s="2">
        <v>4</v>
      </c>
      <c r="AA77" s="2">
        <v>14</v>
      </c>
      <c r="AB77" s="2">
        <v>12</v>
      </c>
      <c r="AC77" s="2">
        <v>69</v>
      </c>
      <c r="AD77" s="40">
        <v>46</v>
      </c>
    </row>
    <row r="78" spans="1:30" ht="14.5" customHeight="1">
      <c r="A78" s="14" t="s">
        <v>32</v>
      </c>
      <c r="B78" s="2" t="s">
        <v>1</v>
      </c>
      <c r="C78" s="2" t="s">
        <v>68</v>
      </c>
      <c r="D78" s="30">
        <v>0.9</v>
      </c>
      <c r="E78" s="30">
        <v>0.94510000000000005</v>
      </c>
      <c r="F78" s="100">
        <f t="shared" si="2"/>
        <v>85.059000000000012</v>
      </c>
      <c r="G78" s="112"/>
      <c r="H78" s="3" t="s">
        <v>149</v>
      </c>
      <c r="I78" s="4" t="s">
        <v>147</v>
      </c>
      <c r="J78" s="5" t="s">
        <v>145</v>
      </c>
      <c r="K78" s="32" t="s">
        <v>170</v>
      </c>
      <c r="L78" s="6" t="s">
        <v>12</v>
      </c>
      <c r="M78" s="6" t="s">
        <v>95</v>
      </c>
      <c r="N78" s="118" t="s">
        <v>93</v>
      </c>
      <c r="O78" s="124" t="s">
        <v>687</v>
      </c>
      <c r="P78" s="37">
        <v>42712</v>
      </c>
      <c r="Q78" s="2" t="s">
        <v>111</v>
      </c>
      <c r="R78" s="8">
        <v>0.51</v>
      </c>
      <c r="S78" s="46">
        <v>82</v>
      </c>
      <c r="T78" s="46">
        <v>0</v>
      </c>
      <c r="U78" s="46">
        <v>0</v>
      </c>
      <c r="V78" s="26">
        <v>0</v>
      </c>
      <c r="W78" s="24"/>
      <c r="X78" s="26" t="s">
        <v>206</v>
      </c>
      <c r="Y78" s="119">
        <v>4</v>
      </c>
      <c r="Z78" s="2">
        <v>3</v>
      </c>
      <c r="AA78" s="2">
        <v>10</v>
      </c>
      <c r="AB78" s="2">
        <v>16</v>
      </c>
      <c r="AC78" s="2">
        <v>66</v>
      </c>
      <c r="AD78" s="40">
        <v>47</v>
      </c>
    </row>
    <row r="79" spans="1:30" ht="14.25" customHeight="1" thickBot="1">
      <c r="A79" s="14" t="s">
        <v>33</v>
      </c>
      <c r="B79" s="2" t="s">
        <v>1</v>
      </c>
      <c r="C79" s="5" t="s">
        <v>68</v>
      </c>
      <c r="D79" s="30">
        <v>0.9</v>
      </c>
      <c r="E79" s="30">
        <v>0.94730000000000003</v>
      </c>
      <c r="F79" s="100">
        <f t="shared" si="2"/>
        <v>85.257000000000005</v>
      </c>
      <c r="G79" s="112"/>
      <c r="H79" s="3" t="s">
        <v>149</v>
      </c>
      <c r="I79" s="4" t="s">
        <v>147</v>
      </c>
      <c r="J79" s="5" t="s">
        <v>145</v>
      </c>
      <c r="K79" s="32" t="s">
        <v>171</v>
      </c>
      <c r="L79" s="6" t="s">
        <v>12</v>
      </c>
      <c r="M79" s="6" t="s">
        <v>95</v>
      </c>
      <c r="N79" s="118" t="s">
        <v>276</v>
      </c>
      <c r="O79" s="124" t="s">
        <v>692</v>
      </c>
      <c r="P79" s="37">
        <v>43746</v>
      </c>
      <c r="Q79" s="2" t="s">
        <v>112</v>
      </c>
      <c r="R79" s="8">
        <v>0.50900000000000001</v>
      </c>
      <c r="S79" s="46">
        <v>82</v>
      </c>
      <c r="T79" s="46">
        <v>0</v>
      </c>
      <c r="U79" s="46">
        <v>0</v>
      </c>
      <c r="V79" s="26">
        <v>0</v>
      </c>
      <c r="W79" s="24"/>
      <c r="X79" s="26" t="s">
        <v>206</v>
      </c>
      <c r="Y79" s="119">
        <v>3</v>
      </c>
      <c r="Z79" s="2">
        <v>3</v>
      </c>
      <c r="AA79" s="2">
        <v>12</v>
      </c>
      <c r="AB79" s="2">
        <v>18</v>
      </c>
      <c r="AC79" s="2">
        <v>73</v>
      </c>
      <c r="AD79" s="40">
        <v>44</v>
      </c>
    </row>
    <row r="80" spans="1:30" ht="14.5" customHeight="1">
      <c r="A80" s="14" t="s">
        <v>34</v>
      </c>
      <c r="B80" s="2" t="s">
        <v>1</v>
      </c>
      <c r="C80" s="5" t="s">
        <v>69</v>
      </c>
      <c r="D80" s="30">
        <v>0.89</v>
      </c>
      <c r="E80" s="30">
        <v>0.94069999999999998</v>
      </c>
      <c r="F80" s="100">
        <f t="shared" si="2"/>
        <v>83.722300000000004</v>
      </c>
      <c r="G80" s="112"/>
      <c r="H80" s="3" t="s">
        <v>149</v>
      </c>
      <c r="I80" s="4" t="s">
        <v>147</v>
      </c>
      <c r="J80" s="5" t="s">
        <v>145</v>
      </c>
      <c r="K80" s="33" t="s">
        <v>172</v>
      </c>
      <c r="L80" s="6" t="s">
        <v>12</v>
      </c>
      <c r="M80" s="6" t="s">
        <v>13</v>
      </c>
      <c r="N80" s="118" t="s">
        <v>276</v>
      </c>
      <c r="O80" s="124" t="s">
        <v>676</v>
      </c>
      <c r="P80" s="37">
        <v>43856</v>
      </c>
      <c r="Q80" s="2" t="s">
        <v>113</v>
      </c>
      <c r="R80" s="8">
        <v>0.51200000000000001</v>
      </c>
      <c r="S80" s="46">
        <v>81</v>
      </c>
      <c r="T80" s="46">
        <v>0</v>
      </c>
      <c r="U80" s="46">
        <v>0</v>
      </c>
      <c r="V80" s="26">
        <v>0</v>
      </c>
      <c r="W80" s="24"/>
      <c r="X80" s="26" t="s">
        <v>206</v>
      </c>
      <c r="Y80" s="119">
        <v>2</v>
      </c>
      <c r="Z80" s="2">
        <v>3</v>
      </c>
      <c r="AA80" s="2">
        <v>6</v>
      </c>
      <c r="AB80" s="2">
        <v>18</v>
      </c>
      <c r="AC80" s="2">
        <v>80</v>
      </c>
      <c r="AD80" s="40">
        <v>48</v>
      </c>
    </row>
    <row r="81" spans="1:30" ht="14.5" customHeight="1">
      <c r="A81" s="14" t="s">
        <v>35</v>
      </c>
      <c r="B81" s="2" t="s">
        <v>1</v>
      </c>
      <c r="C81" s="5" t="s">
        <v>68</v>
      </c>
      <c r="D81" s="30">
        <v>0.88</v>
      </c>
      <c r="E81" s="30">
        <v>0.97489999999999999</v>
      </c>
      <c r="F81" s="100">
        <f t="shared" si="2"/>
        <v>85.791200000000003</v>
      </c>
      <c r="G81" s="112"/>
      <c r="H81" s="3" t="s">
        <v>149</v>
      </c>
      <c r="I81" s="4" t="s">
        <v>147</v>
      </c>
      <c r="J81" s="5" t="s">
        <v>145</v>
      </c>
      <c r="K81" s="32" t="s">
        <v>173</v>
      </c>
      <c r="L81" s="6" t="s">
        <v>12</v>
      </c>
      <c r="M81" s="6" t="s">
        <v>95</v>
      </c>
      <c r="N81" s="118" t="s">
        <v>99</v>
      </c>
      <c r="O81" s="124" t="s">
        <v>698</v>
      </c>
      <c r="P81" s="37">
        <v>43096</v>
      </c>
      <c r="Q81" s="2" t="s">
        <v>114</v>
      </c>
      <c r="R81" s="8">
        <v>0.50600000000000001</v>
      </c>
      <c r="S81" s="46">
        <v>81</v>
      </c>
      <c r="T81" s="46">
        <v>0</v>
      </c>
      <c r="U81" s="46">
        <v>0</v>
      </c>
      <c r="V81" s="26">
        <v>0</v>
      </c>
      <c r="W81" s="24"/>
      <c r="X81" s="26" t="s">
        <v>206</v>
      </c>
      <c r="Y81" s="119">
        <v>2</v>
      </c>
      <c r="Z81" s="2">
        <v>3</v>
      </c>
      <c r="AA81" s="2">
        <v>6</v>
      </c>
      <c r="AB81" s="2">
        <v>18</v>
      </c>
      <c r="AC81" s="2">
        <v>74</v>
      </c>
      <c r="AD81" s="40">
        <v>54</v>
      </c>
    </row>
    <row r="82" spans="1:30" ht="14.5" customHeight="1">
      <c r="A82" s="14" t="s">
        <v>36</v>
      </c>
      <c r="B82" s="2" t="s">
        <v>1</v>
      </c>
      <c r="C82" s="5" t="s">
        <v>68</v>
      </c>
      <c r="D82" s="30">
        <v>0.91</v>
      </c>
      <c r="E82" s="30">
        <v>0.93520000000000003</v>
      </c>
      <c r="F82" s="100">
        <f t="shared" si="2"/>
        <v>85.103200000000001</v>
      </c>
      <c r="G82" s="112"/>
      <c r="H82" s="3" t="s">
        <v>149</v>
      </c>
      <c r="I82" s="4" t="s">
        <v>147</v>
      </c>
      <c r="J82" s="5" t="s">
        <v>145</v>
      </c>
      <c r="K82" s="32" t="s">
        <v>174</v>
      </c>
      <c r="L82" s="6" t="s">
        <v>12</v>
      </c>
      <c r="M82" s="6" t="s">
        <v>95</v>
      </c>
      <c r="N82" s="118" t="s">
        <v>101</v>
      </c>
      <c r="O82" s="124" t="s">
        <v>670</v>
      </c>
      <c r="P82" s="38">
        <v>43870</v>
      </c>
      <c r="Q82" s="2" t="s">
        <v>115</v>
      </c>
      <c r="R82" s="8">
        <v>0.50700000000000001</v>
      </c>
      <c r="S82" s="46">
        <v>81</v>
      </c>
      <c r="T82" s="46">
        <v>0</v>
      </c>
      <c r="U82" s="46">
        <v>0</v>
      </c>
      <c r="V82" s="26">
        <v>0</v>
      </c>
      <c r="W82" s="24"/>
      <c r="X82" s="26" t="s">
        <v>206</v>
      </c>
      <c r="Y82" s="119">
        <v>6</v>
      </c>
      <c r="Z82" s="2">
        <v>3</v>
      </c>
      <c r="AA82" s="2">
        <v>6</v>
      </c>
      <c r="AB82" s="2">
        <v>14</v>
      </c>
      <c r="AC82" s="2">
        <v>76</v>
      </c>
      <c r="AD82" s="40">
        <v>54</v>
      </c>
    </row>
    <row r="83" spans="1:30" ht="14.5" customHeight="1">
      <c r="A83" s="14" t="s">
        <v>37</v>
      </c>
      <c r="B83" s="2" t="s">
        <v>1</v>
      </c>
      <c r="C83" s="5" t="s">
        <v>68</v>
      </c>
      <c r="D83" s="30">
        <v>0.92</v>
      </c>
      <c r="E83" s="30">
        <v>0.94130000000000003</v>
      </c>
      <c r="F83" s="100">
        <f t="shared" si="2"/>
        <v>86.599600000000009</v>
      </c>
      <c r="G83" s="112"/>
      <c r="H83" s="3" t="s">
        <v>149</v>
      </c>
      <c r="I83" s="4" t="s">
        <v>147</v>
      </c>
      <c r="J83" s="5" t="s">
        <v>145</v>
      </c>
      <c r="K83" s="32" t="s">
        <v>175</v>
      </c>
      <c r="L83" s="6" t="s">
        <v>12</v>
      </c>
      <c r="M83" s="6" t="s">
        <v>95</v>
      </c>
      <c r="N83" s="118" t="s">
        <v>100</v>
      </c>
      <c r="O83" s="124" t="s">
        <v>703</v>
      </c>
      <c r="P83" s="37">
        <v>43821</v>
      </c>
      <c r="Q83" s="2" t="s">
        <v>116</v>
      </c>
      <c r="R83" s="8">
        <v>0.50600000000000001</v>
      </c>
      <c r="S83" s="46">
        <v>85</v>
      </c>
      <c r="T83" s="46">
        <v>0</v>
      </c>
      <c r="U83" s="46">
        <v>0</v>
      </c>
      <c r="V83" s="26">
        <v>0</v>
      </c>
      <c r="W83" s="24"/>
      <c r="X83" s="26" t="s">
        <v>206</v>
      </c>
      <c r="Y83" s="119">
        <v>3</v>
      </c>
      <c r="Z83" s="2">
        <v>3</v>
      </c>
      <c r="AA83" s="2">
        <v>4</v>
      </c>
      <c r="AB83" s="2">
        <v>18</v>
      </c>
      <c r="AC83" s="2">
        <v>73</v>
      </c>
      <c r="AD83" s="40">
        <v>46</v>
      </c>
    </row>
    <row r="84" spans="1:30" ht="14.5" customHeight="1">
      <c r="A84" s="14" t="s">
        <v>38</v>
      </c>
      <c r="B84" s="2" t="s">
        <v>1</v>
      </c>
      <c r="C84" s="5" t="s">
        <v>70</v>
      </c>
      <c r="D84" s="30">
        <v>0.73</v>
      </c>
      <c r="E84" s="30">
        <v>0.9365</v>
      </c>
      <c r="F84" s="100">
        <f t="shared" si="2"/>
        <v>68.364499999999992</v>
      </c>
      <c r="G84" s="112"/>
      <c r="H84" s="3"/>
      <c r="I84" s="3" t="s">
        <v>270</v>
      </c>
      <c r="J84" s="5" t="s">
        <v>145</v>
      </c>
      <c r="K84" s="32" t="s">
        <v>176</v>
      </c>
      <c r="L84" s="6" t="s">
        <v>12</v>
      </c>
      <c r="M84" s="6" t="s">
        <v>13</v>
      </c>
      <c r="N84" s="118" t="s">
        <v>94</v>
      </c>
      <c r="O84" s="124" t="s">
        <v>672</v>
      </c>
      <c r="P84" s="37">
        <v>46037</v>
      </c>
      <c r="Q84" s="2" t="s">
        <v>117</v>
      </c>
      <c r="R84" s="8">
        <v>0.46700000000000003</v>
      </c>
      <c r="S84" s="46">
        <v>90</v>
      </c>
      <c r="T84" s="46">
        <v>0</v>
      </c>
      <c r="U84" s="46">
        <v>0</v>
      </c>
      <c r="V84" s="26">
        <v>0</v>
      </c>
      <c r="W84" s="24"/>
      <c r="X84" s="26" t="s">
        <v>206</v>
      </c>
      <c r="Y84" s="119">
        <v>1</v>
      </c>
      <c r="Z84" s="2">
        <v>2</v>
      </c>
      <c r="AA84" s="2">
        <v>10</v>
      </c>
      <c r="AB84" s="2">
        <v>22</v>
      </c>
      <c r="AC84" s="2">
        <v>95</v>
      </c>
      <c r="AD84" s="40">
        <v>47</v>
      </c>
    </row>
    <row r="85" spans="1:30" ht="14.5" customHeight="1">
      <c r="A85" s="14" t="s">
        <v>39</v>
      </c>
      <c r="B85" s="2" t="s">
        <v>1</v>
      </c>
      <c r="C85" s="5" t="s">
        <v>70</v>
      </c>
      <c r="D85" s="30">
        <v>0.78</v>
      </c>
      <c r="E85" s="30">
        <v>0.90680000000000005</v>
      </c>
      <c r="F85" s="100">
        <f>100*(D85*E85)</f>
        <v>70.730400000000003</v>
      </c>
      <c r="G85" s="112"/>
      <c r="H85" s="3"/>
      <c r="I85" s="3" t="s">
        <v>270</v>
      </c>
      <c r="J85" s="5" t="s">
        <v>145</v>
      </c>
      <c r="K85" s="32" t="s">
        <v>177</v>
      </c>
      <c r="L85" s="6" t="s">
        <v>12</v>
      </c>
      <c r="M85" s="6" t="s">
        <v>13</v>
      </c>
      <c r="N85" s="118" t="s">
        <v>92</v>
      </c>
      <c r="O85" s="124" t="s">
        <v>696</v>
      </c>
      <c r="P85" s="37">
        <v>46496</v>
      </c>
      <c r="Q85" s="2" t="s">
        <v>119</v>
      </c>
      <c r="R85" s="8">
        <v>0.46400000000000002</v>
      </c>
      <c r="S85" s="46">
        <v>91</v>
      </c>
      <c r="T85" s="46">
        <v>0</v>
      </c>
      <c r="U85" s="46">
        <v>0</v>
      </c>
      <c r="V85" s="26">
        <v>0</v>
      </c>
      <c r="W85" s="24"/>
      <c r="X85" s="26" t="s">
        <v>206</v>
      </c>
      <c r="Y85" s="119">
        <v>1</v>
      </c>
      <c r="Z85" s="2">
        <v>3</v>
      </c>
      <c r="AA85" s="2">
        <v>12</v>
      </c>
      <c r="AB85" s="2">
        <v>34</v>
      </c>
      <c r="AC85" s="2">
        <v>85</v>
      </c>
      <c r="AD85" s="40">
        <v>42</v>
      </c>
    </row>
    <row r="86" spans="1:30" ht="14.5" customHeight="1">
      <c r="A86" s="14" t="s">
        <v>40</v>
      </c>
      <c r="B86" s="2" t="s">
        <v>1</v>
      </c>
      <c r="C86" s="5" t="s">
        <v>72</v>
      </c>
      <c r="D86" s="30">
        <v>0.78</v>
      </c>
      <c r="E86" s="30">
        <v>0.90939999999999999</v>
      </c>
      <c r="F86" s="100">
        <f>100*(D86*E86)</f>
        <v>70.933199999999999</v>
      </c>
      <c r="G86" s="112"/>
      <c r="H86" s="3"/>
      <c r="I86" s="3" t="s">
        <v>270</v>
      </c>
      <c r="J86" s="5" t="s">
        <v>145</v>
      </c>
      <c r="K86" s="32" t="s">
        <v>178</v>
      </c>
      <c r="L86" s="6" t="s">
        <v>12</v>
      </c>
      <c r="M86" s="6" t="s">
        <v>13</v>
      </c>
      <c r="N86" s="118" t="s">
        <v>276</v>
      </c>
      <c r="O86" s="124" t="s">
        <v>700</v>
      </c>
      <c r="P86" s="37">
        <v>46874</v>
      </c>
      <c r="Q86" s="2" t="s">
        <v>120</v>
      </c>
      <c r="R86" s="8">
        <v>0.46700000000000003</v>
      </c>
      <c r="S86" s="46">
        <v>90</v>
      </c>
      <c r="T86" s="46">
        <v>0</v>
      </c>
      <c r="U86" s="46">
        <v>0</v>
      </c>
      <c r="V86" s="26">
        <v>0</v>
      </c>
      <c r="W86" s="24"/>
      <c r="X86" s="26" t="s">
        <v>206</v>
      </c>
      <c r="Y86" s="119">
        <v>1</v>
      </c>
      <c r="Z86" s="2">
        <v>3</v>
      </c>
      <c r="AA86" s="2">
        <v>10</v>
      </c>
      <c r="AB86" s="2">
        <v>24</v>
      </c>
      <c r="AC86" s="2">
        <v>96</v>
      </c>
      <c r="AD86" s="40">
        <v>46</v>
      </c>
    </row>
    <row r="87" spans="1:30" ht="14.5" customHeight="1">
      <c r="A87" s="14" t="s">
        <v>41</v>
      </c>
      <c r="B87" s="2" t="s">
        <v>1</v>
      </c>
      <c r="C87" s="5" t="s">
        <v>72</v>
      </c>
      <c r="D87" s="30">
        <v>0.69</v>
      </c>
      <c r="E87" s="30">
        <v>0.89480000000000004</v>
      </c>
      <c r="F87" s="100">
        <f>100*(D87*E87)</f>
        <v>61.741199999999999</v>
      </c>
      <c r="G87" s="112"/>
      <c r="H87" s="3"/>
      <c r="I87" s="3" t="s">
        <v>270</v>
      </c>
      <c r="J87" s="5" t="s">
        <v>145</v>
      </c>
      <c r="K87" s="32" t="s">
        <v>179</v>
      </c>
      <c r="L87" s="6" t="s">
        <v>12</v>
      </c>
      <c r="M87" s="6" t="s">
        <v>13</v>
      </c>
      <c r="N87" s="118" t="s">
        <v>276</v>
      </c>
      <c r="O87" s="124" t="s">
        <v>671</v>
      </c>
      <c r="P87" s="37">
        <v>47021</v>
      </c>
      <c r="Q87" s="2" t="s">
        <v>122</v>
      </c>
      <c r="R87" s="8">
        <v>0.46500000000000002</v>
      </c>
      <c r="S87" s="46">
        <v>89</v>
      </c>
      <c r="T87" s="46">
        <v>1</v>
      </c>
      <c r="U87" s="46">
        <v>0</v>
      </c>
      <c r="V87" s="26">
        <v>0</v>
      </c>
      <c r="W87" s="24"/>
      <c r="X87" s="26" t="s">
        <v>206</v>
      </c>
      <c r="Y87" s="119">
        <v>1</v>
      </c>
      <c r="Z87" s="2">
        <v>3</v>
      </c>
      <c r="AA87" s="2">
        <v>18</v>
      </c>
      <c r="AB87" s="2">
        <v>24</v>
      </c>
      <c r="AC87" s="2">
        <v>81</v>
      </c>
      <c r="AD87" s="40">
        <v>48</v>
      </c>
    </row>
    <row r="88" spans="1:30" ht="14.5" customHeight="1">
      <c r="A88" s="14" t="s">
        <v>42</v>
      </c>
      <c r="B88" s="2" t="s">
        <v>1</v>
      </c>
      <c r="C88" s="5" t="s">
        <v>71</v>
      </c>
      <c r="D88" s="30">
        <v>0.72</v>
      </c>
      <c r="E88" s="30">
        <v>0.89990000000000003</v>
      </c>
      <c r="F88" s="100">
        <f>100*(D88*E88)</f>
        <v>64.7928</v>
      </c>
      <c r="G88" s="112"/>
      <c r="H88" s="3"/>
      <c r="I88" s="3" t="s">
        <v>270</v>
      </c>
      <c r="J88" s="5" t="s">
        <v>145</v>
      </c>
      <c r="K88" s="32" t="s">
        <v>180</v>
      </c>
      <c r="L88" s="6" t="s">
        <v>96</v>
      </c>
      <c r="M88" s="6" t="s">
        <v>13</v>
      </c>
      <c r="N88" s="118" t="s">
        <v>92</v>
      </c>
      <c r="O88" s="124" t="s">
        <v>701</v>
      </c>
      <c r="P88" s="37">
        <v>47623</v>
      </c>
      <c r="Q88" s="2" t="s">
        <v>118</v>
      </c>
      <c r="R88" s="8">
        <v>0.46400000000000002</v>
      </c>
      <c r="S88" s="46">
        <v>95</v>
      </c>
      <c r="T88" s="46">
        <v>1</v>
      </c>
      <c r="U88" s="46">
        <v>0</v>
      </c>
      <c r="V88" s="26">
        <v>0</v>
      </c>
      <c r="W88" s="24"/>
      <c r="X88" s="26" t="s">
        <v>206</v>
      </c>
      <c r="Y88" s="119">
        <v>2</v>
      </c>
      <c r="Z88" s="2">
        <v>2</v>
      </c>
      <c r="AA88" s="2">
        <v>6</v>
      </c>
      <c r="AB88" s="2">
        <v>28</v>
      </c>
      <c r="AC88" s="2">
        <v>88</v>
      </c>
      <c r="AD88" s="40">
        <v>47</v>
      </c>
    </row>
    <row r="89" spans="1:30" ht="14.5" customHeight="1" thickBot="1">
      <c r="A89" s="14" t="s">
        <v>43</v>
      </c>
      <c r="B89" s="2" t="s">
        <v>1</v>
      </c>
      <c r="C89" s="5" t="s">
        <v>73</v>
      </c>
      <c r="D89" s="30">
        <v>0.83</v>
      </c>
      <c r="E89" s="30">
        <v>0.96650000000000003</v>
      </c>
      <c r="F89" s="100">
        <f t="shared" si="2"/>
        <v>80.219499999999996</v>
      </c>
      <c r="G89" s="112"/>
      <c r="H89" s="3"/>
      <c r="I89" s="28" t="s">
        <v>271</v>
      </c>
      <c r="J89" s="5" t="s">
        <v>145</v>
      </c>
      <c r="K89" s="34" t="s">
        <v>181</v>
      </c>
      <c r="L89" s="6" t="s">
        <v>12</v>
      </c>
      <c r="M89" s="6" t="s">
        <v>95</v>
      </c>
      <c r="N89" s="118" t="s">
        <v>276</v>
      </c>
      <c r="O89" s="124" t="s">
        <v>684</v>
      </c>
      <c r="P89" s="37">
        <v>58508</v>
      </c>
      <c r="Q89" s="2" t="s">
        <v>121</v>
      </c>
      <c r="R89" s="8">
        <v>0.438</v>
      </c>
      <c r="S89" s="46">
        <v>107</v>
      </c>
      <c r="T89" s="46">
        <v>0</v>
      </c>
      <c r="U89" s="46">
        <v>0</v>
      </c>
      <c r="V89" s="26">
        <v>0</v>
      </c>
      <c r="W89" s="24"/>
      <c r="X89" s="26" t="s">
        <v>206</v>
      </c>
      <c r="Y89" s="119">
        <v>7</v>
      </c>
      <c r="Z89" s="2">
        <v>4</v>
      </c>
      <c r="AA89" s="2">
        <v>32</v>
      </c>
      <c r="AB89" s="2">
        <v>30</v>
      </c>
      <c r="AC89" s="2">
        <v>156</v>
      </c>
      <c r="AD89" s="40">
        <v>74</v>
      </c>
    </row>
    <row r="90" spans="1:30" ht="14.5" customHeight="1">
      <c r="A90" s="14" t="s">
        <v>44</v>
      </c>
      <c r="B90" s="2" t="s">
        <v>1</v>
      </c>
      <c r="C90" s="5" t="s">
        <v>74</v>
      </c>
      <c r="D90" s="30">
        <v>0.96</v>
      </c>
      <c r="E90" s="30">
        <v>0.97609999999999997</v>
      </c>
      <c r="F90" s="100">
        <f t="shared" si="2"/>
        <v>93.70559999999999</v>
      </c>
      <c r="G90" s="112"/>
      <c r="H90" s="3"/>
      <c r="I90" s="3" t="s">
        <v>150</v>
      </c>
      <c r="J90" s="5" t="s">
        <v>145</v>
      </c>
      <c r="K90" s="35" t="s">
        <v>182</v>
      </c>
      <c r="L90" s="6" t="s">
        <v>12</v>
      </c>
      <c r="M90" s="6" t="s">
        <v>95</v>
      </c>
      <c r="N90" s="118" t="s">
        <v>102</v>
      </c>
      <c r="O90" s="124" t="s">
        <v>677</v>
      </c>
      <c r="P90" s="37">
        <v>44876</v>
      </c>
      <c r="Q90" s="2" t="s">
        <v>123</v>
      </c>
      <c r="R90" s="8">
        <v>0.54400000000000004</v>
      </c>
      <c r="S90" s="46">
        <v>72</v>
      </c>
      <c r="T90" s="46">
        <v>0</v>
      </c>
      <c r="U90" s="46">
        <v>0</v>
      </c>
      <c r="V90" s="26">
        <v>0</v>
      </c>
      <c r="W90" s="24" t="s">
        <v>206</v>
      </c>
      <c r="X90" s="26" t="s">
        <v>207</v>
      </c>
      <c r="Y90" s="119">
        <v>0</v>
      </c>
      <c r="Z90" s="2">
        <v>0</v>
      </c>
      <c r="AA90" s="2">
        <v>2</v>
      </c>
      <c r="AB90" s="2">
        <v>28</v>
      </c>
      <c r="AC90" s="2">
        <v>25</v>
      </c>
      <c r="AD90" s="40">
        <v>82</v>
      </c>
    </row>
    <row r="91" spans="1:30" ht="14.5" customHeight="1">
      <c r="A91" s="14" t="s">
        <v>45</v>
      </c>
      <c r="B91" s="2" t="s">
        <v>1</v>
      </c>
      <c r="C91" s="5" t="s">
        <v>75</v>
      </c>
      <c r="D91" s="30">
        <v>0.95</v>
      </c>
      <c r="E91" s="30">
        <v>0.90839999999999999</v>
      </c>
      <c r="F91" s="100">
        <f t="shared" si="2"/>
        <v>86.298000000000002</v>
      </c>
      <c r="G91" s="112"/>
      <c r="H91" s="3"/>
      <c r="I91" s="3" t="s">
        <v>150</v>
      </c>
      <c r="J91" s="5" t="s">
        <v>145</v>
      </c>
      <c r="K91" s="35" t="s">
        <v>183</v>
      </c>
      <c r="L91" s="6" t="s">
        <v>12</v>
      </c>
      <c r="M91" s="6" t="s">
        <v>95</v>
      </c>
      <c r="N91" s="118" t="s">
        <v>103</v>
      </c>
      <c r="O91" s="124" t="s">
        <v>683</v>
      </c>
      <c r="P91" s="37">
        <v>44189</v>
      </c>
      <c r="Q91" s="2" t="s">
        <v>124</v>
      </c>
      <c r="R91" s="8">
        <v>0.54500000000000004</v>
      </c>
      <c r="S91" s="46">
        <v>68</v>
      </c>
      <c r="T91" s="46">
        <v>0</v>
      </c>
      <c r="U91" s="46">
        <v>0</v>
      </c>
      <c r="V91" s="26">
        <v>0</v>
      </c>
      <c r="W91" s="24" t="s">
        <v>206</v>
      </c>
      <c r="X91" s="26" t="s">
        <v>207</v>
      </c>
      <c r="Y91" s="119">
        <v>0</v>
      </c>
      <c r="Z91" s="2">
        <v>0</v>
      </c>
      <c r="AA91" s="2">
        <v>4</v>
      </c>
      <c r="AB91" s="2">
        <v>24</v>
      </c>
      <c r="AC91" s="2">
        <v>50</v>
      </c>
      <c r="AD91" s="40">
        <v>66</v>
      </c>
    </row>
    <row r="92" spans="1:30" ht="14.5" customHeight="1">
      <c r="A92" s="14" t="s">
        <v>46</v>
      </c>
      <c r="B92" s="2" t="s">
        <v>1</v>
      </c>
      <c r="C92" s="5" t="s">
        <v>74</v>
      </c>
      <c r="D92" s="30">
        <v>0.96</v>
      </c>
      <c r="E92" s="30">
        <v>0.97399999999999998</v>
      </c>
      <c r="F92" s="100">
        <f t="shared" si="2"/>
        <v>93.504000000000005</v>
      </c>
      <c r="G92" s="112"/>
      <c r="H92" s="3"/>
      <c r="I92" s="3" t="s">
        <v>150</v>
      </c>
      <c r="J92" s="5" t="s">
        <v>145</v>
      </c>
      <c r="K92" s="35" t="s">
        <v>184</v>
      </c>
      <c r="L92" s="6" t="s">
        <v>12</v>
      </c>
      <c r="M92" s="6" t="s">
        <v>104</v>
      </c>
      <c r="N92" s="118" t="s">
        <v>105</v>
      </c>
      <c r="O92" s="124" t="s">
        <v>695</v>
      </c>
      <c r="P92" s="37">
        <v>44889</v>
      </c>
      <c r="Q92" s="2" t="s">
        <v>125</v>
      </c>
      <c r="R92" s="8">
        <v>0.54400000000000004</v>
      </c>
      <c r="S92" s="46">
        <v>72</v>
      </c>
      <c r="T92" s="46">
        <v>0</v>
      </c>
      <c r="U92" s="46">
        <v>0</v>
      </c>
      <c r="V92" s="26">
        <v>0</v>
      </c>
      <c r="W92" s="24" t="s">
        <v>206</v>
      </c>
      <c r="X92" s="26" t="s">
        <v>207</v>
      </c>
      <c r="Y92" s="119">
        <v>0</v>
      </c>
      <c r="Z92" s="2">
        <v>0</v>
      </c>
      <c r="AA92" s="2">
        <v>2</v>
      </c>
      <c r="AB92" s="2">
        <v>26</v>
      </c>
      <c r="AC92" s="2">
        <v>27</v>
      </c>
      <c r="AD92" s="40">
        <v>79</v>
      </c>
    </row>
    <row r="93" spans="1:30" ht="14.5" customHeight="1">
      <c r="A93" s="14" t="s">
        <v>47</v>
      </c>
      <c r="B93" s="2" t="s">
        <v>158</v>
      </c>
      <c r="C93" s="5" t="s">
        <v>77</v>
      </c>
      <c r="D93" s="30">
        <v>0.94</v>
      </c>
      <c r="E93" s="30">
        <v>0.96109999999999995</v>
      </c>
      <c r="F93" s="100">
        <f t="shared" ref="F93:F101" si="3">100*(D93*E93)</f>
        <v>90.343400000000003</v>
      </c>
      <c r="G93" s="112"/>
      <c r="H93" s="3" t="s">
        <v>164</v>
      </c>
      <c r="I93" s="3" t="s">
        <v>165</v>
      </c>
      <c r="J93" s="5" t="s">
        <v>145</v>
      </c>
      <c r="K93" s="32" t="s">
        <v>185</v>
      </c>
      <c r="L93" s="6" t="s">
        <v>12</v>
      </c>
      <c r="M93" s="6" t="s">
        <v>97</v>
      </c>
      <c r="N93" s="118" t="s">
        <v>98</v>
      </c>
      <c r="O93" s="124" t="s">
        <v>693</v>
      </c>
      <c r="P93" s="37">
        <v>76140</v>
      </c>
      <c r="Q93" s="2" t="s">
        <v>127</v>
      </c>
      <c r="R93" s="8">
        <v>0.42099999999999999</v>
      </c>
      <c r="S93" s="46">
        <v>120</v>
      </c>
      <c r="T93" s="46">
        <v>1</v>
      </c>
      <c r="U93" s="46">
        <v>0</v>
      </c>
      <c r="V93" s="26">
        <v>2</v>
      </c>
      <c r="W93" s="24"/>
      <c r="X93" s="26" t="s">
        <v>206</v>
      </c>
      <c r="Y93" s="119">
        <v>9</v>
      </c>
      <c r="Z93" s="2">
        <v>6</v>
      </c>
      <c r="AA93" s="2">
        <v>28</v>
      </c>
      <c r="AB93" s="2">
        <v>46</v>
      </c>
      <c r="AC93" s="2">
        <v>126</v>
      </c>
      <c r="AD93" s="40">
        <v>117</v>
      </c>
    </row>
    <row r="94" spans="1:30" ht="14.5" customHeight="1">
      <c r="A94" s="14" t="s">
        <v>48</v>
      </c>
      <c r="B94" s="2" t="s">
        <v>158</v>
      </c>
      <c r="C94" s="5" t="s">
        <v>81</v>
      </c>
      <c r="D94" s="30">
        <v>0.91</v>
      </c>
      <c r="E94" s="30">
        <v>0.97219999999999995</v>
      </c>
      <c r="F94" s="100">
        <f t="shared" si="3"/>
        <v>88.470200000000006</v>
      </c>
      <c r="G94" s="112"/>
      <c r="H94" s="3" t="s">
        <v>164</v>
      </c>
      <c r="I94" s="3" t="s">
        <v>165</v>
      </c>
      <c r="J94" s="5" t="s">
        <v>145</v>
      </c>
      <c r="K94" s="32" t="s">
        <v>186</v>
      </c>
      <c r="L94" s="6" t="s">
        <v>12</v>
      </c>
      <c r="M94" s="6" t="s">
        <v>95</v>
      </c>
      <c r="N94" s="118" t="s">
        <v>106</v>
      </c>
      <c r="O94" s="124" t="s">
        <v>668</v>
      </c>
      <c r="P94" s="37">
        <v>77516</v>
      </c>
      <c r="Q94" s="2" t="s">
        <v>133</v>
      </c>
      <c r="R94" s="8">
        <v>0.42099999999999999</v>
      </c>
      <c r="S94" s="46">
        <v>128</v>
      </c>
      <c r="T94" s="46">
        <v>1</v>
      </c>
      <c r="U94" s="46">
        <v>0</v>
      </c>
      <c r="V94" s="26">
        <v>1</v>
      </c>
      <c r="W94" s="24"/>
      <c r="X94" s="26" t="s">
        <v>206</v>
      </c>
      <c r="Y94" s="119">
        <v>9</v>
      </c>
      <c r="Z94" s="2">
        <v>7</v>
      </c>
      <c r="AA94" s="2">
        <v>30</v>
      </c>
      <c r="AB94" s="2">
        <v>50</v>
      </c>
      <c r="AC94" s="2">
        <v>125</v>
      </c>
      <c r="AD94" s="40">
        <v>127</v>
      </c>
    </row>
    <row r="95" spans="1:30" ht="14.5" customHeight="1">
      <c r="A95" s="14" t="s">
        <v>49</v>
      </c>
      <c r="B95" s="2" t="s">
        <v>158</v>
      </c>
      <c r="C95" s="5" t="s">
        <v>80</v>
      </c>
      <c r="D95" s="30">
        <v>0.89</v>
      </c>
      <c r="E95" s="30">
        <v>0.95389999999999997</v>
      </c>
      <c r="F95" s="100">
        <f t="shared" si="3"/>
        <v>84.897100000000009</v>
      </c>
      <c r="G95" s="112"/>
      <c r="H95" s="3" t="s">
        <v>164</v>
      </c>
      <c r="I95" s="3" t="s">
        <v>165</v>
      </c>
      <c r="J95" s="5" t="s">
        <v>145</v>
      </c>
      <c r="K95" s="32" t="s">
        <v>187</v>
      </c>
      <c r="L95" s="6" t="s">
        <v>12</v>
      </c>
      <c r="M95" s="6" t="s">
        <v>97</v>
      </c>
      <c r="N95" s="118" t="s">
        <v>98</v>
      </c>
      <c r="O95" s="124" t="s">
        <v>699</v>
      </c>
      <c r="P95" s="37">
        <v>76606</v>
      </c>
      <c r="Q95" s="2" t="s">
        <v>131</v>
      </c>
      <c r="R95" s="8">
        <v>0.42399999999999999</v>
      </c>
      <c r="S95" s="46">
        <v>122</v>
      </c>
      <c r="T95" s="46">
        <v>1</v>
      </c>
      <c r="U95" s="46">
        <v>0</v>
      </c>
      <c r="V95" s="26">
        <v>0</v>
      </c>
      <c r="W95" s="24"/>
      <c r="X95" s="26" t="s">
        <v>206</v>
      </c>
      <c r="Y95" s="119">
        <v>9</v>
      </c>
      <c r="Z95" s="2">
        <v>6</v>
      </c>
      <c r="AA95" s="2">
        <v>18</v>
      </c>
      <c r="AB95" s="2">
        <v>60</v>
      </c>
      <c r="AC95" s="2">
        <v>106</v>
      </c>
      <c r="AD95" s="40">
        <v>131</v>
      </c>
    </row>
    <row r="96" spans="1:30" ht="14.5" customHeight="1" thickBot="1">
      <c r="A96" s="14" t="s">
        <v>50</v>
      </c>
      <c r="B96" s="2" t="s">
        <v>158</v>
      </c>
      <c r="C96" s="5" t="s">
        <v>79</v>
      </c>
      <c r="D96" s="30">
        <v>0.88</v>
      </c>
      <c r="E96" s="30">
        <v>0.96699999999999997</v>
      </c>
      <c r="F96" s="100">
        <f t="shared" si="3"/>
        <v>85.095999999999989</v>
      </c>
      <c r="G96" s="112"/>
      <c r="H96" s="3" t="s">
        <v>164</v>
      </c>
      <c r="I96" s="3" t="s">
        <v>166</v>
      </c>
      <c r="J96" s="5" t="s">
        <v>145</v>
      </c>
      <c r="K96" s="32" t="s">
        <v>188</v>
      </c>
      <c r="L96" s="6" t="s">
        <v>12</v>
      </c>
      <c r="M96" s="6" t="s">
        <v>95</v>
      </c>
      <c r="N96" s="118" t="s">
        <v>93</v>
      </c>
      <c r="O96" s="124" t="s">
        <v>685</v>
      </c>
      <c r="P96" s="37">
        <v>76768</v>
      </c>
      <c r="Q96" s="2" t="s">
        <v>130</v>
      </c>
      <c r="R96" s="8">
        <v>0.42499999999999999</v>
      </c>
      <c r="S96" s="46">
        <v>123</v>
      </c>
      <c r="T96" s="46">
        <v>1</v>
      </c>
      <c r="U96" s="46">
        <v>0</v>
      </c>
      <c r="V96" s="26">
        <v>2</v>
      </c>
      <c r="W96" s="24"/>
      <c r="X96" s="26" t="s">
        <v>206</v>
      </c>
      <c r="Y96" s="119">
        <v>8</v>
      </c>
      <c r="Z96" s="2">
        <v>5</v>
      </c>
      <c r="AA96" s="2">
        <v>28</v>
      </c>
      <c r="AB96" s="2">
        <v>66</v>
      </c>
      <c r="AC96" s="2">
        <v>117</v>
      </c>
      <c r="AD96" s="40">
        <v>117</v>
      </c>
    </row>
    <row r="97" spans="1:30" ht="14.5" customHeight="1">
      <c r="A97" s="14" t="s">
        <v>51</v>
      </c>
      <c r="B97" s="2" t="s">
        <v>158</v>
      </c>
      <c r="C97" s="5" t="s">
        <v>76</v>
      </c>
      <c r="D97" s="30">
        <v>0.94</v>
      </c>
      <c r="E97" s="30">
        <v>0.97770000000000001</v>
      </c>
      <c r="F97" s="100">
        <f t="shared" si="3"/>
        <v>91.90379999999999</v>
      </c>
      <c r="G97" s="112"/>
      <c r="H97" s="3" t="s">
        <v>164</v>
      </c>
      <c r="I97" s="3" t="s">
        <v>151</v>
      </c>
      <c r="J97" s="5" t="s">
        <v>145</v>
      </c>
      <c r="K97" s="33" t="s">
        <v>189</v>
      </c>
      <c r="L97" s="6" t="s">
        <v>12</v>
      </c>
      <c r="M97" s="6" t="s">
        <v>13</v>
      </c>
      <c r="N97" s="118" t="s">
        <v>94</v>
      </c>
      <c r="O97" s="124" t="s">
        <v>697</v>
      </c>
      <c r="P97" s="37">
        <v>77534</v>
      </c>
      <c r="Q97" s="2" t="s">
        <v>126</v>
      </c>
      <c r="R97" s="8">
        <v>0.42199999999999999</v>
      </c>
      <c r="S97" s="46">
        <v>130</v>
      </c>
      <c r="T97" s="46">
        <v>1</v>
      </c>
      <c r="U97" s="46">
        <v>0</v>
      </c>
      <c r="V97" s="26">
        <v>0</v>
      </c>
      <c r="W97" s="24"/>
      <c r="X97" s="26" t="s">
        <v>206</v>
      </c>
      <c r="Y97" s="119">
        <v>8</v>
      </c>
      <c r="Z97" s="2">
        <v>6</v>
      </c>
      <c r="AA97" s="2">
        <v>26</v>
      </c>
      <c r="AB97" s="2">
        <v>70</v>
      </c>
      <c r="AC97" s="2">
        <v>108</v>
      </c>
      <c r="AD97" s="40">
        <v>121</v>
      </c>
    </row>
    <row r="98" spans="1:30" ht="14.5" customHeight="1">
      <c r="A98" s="14" t="s">
        <v>52</v>
      </c>
      <c r="B98" s="2" t="s">
        <v>158</v>
      </c>
      <c r="C98" s="5" t="s">
        <v>82</v>
      </c>
      <c r="D98" s="30">
        <v>0.98</v>
      </c>
      <c r="E98" s="30">
        <v>0.98960000000000004</v>
      </c>
      <c r="F98" s="100">
        <f t="shared" si="3"/>
        <v>96.980800000000002</v>
      </c>
      <c r="G98" s="112"/>
      <c r="H98" s="3" t="s">
        <v>164</v>
      </c>
      <c r="I98" s="3" t="s">
        <v>151</v>
      </c>
      <c r="J98" s="3" t="s">
        <v>146</v>
      </c>
      <c r="K98" s="32" t="s">
        <v>190</v>
      </c>
      <c r="L98" s="6" t="s">
        <v>12</v>
      </c>
      <c r="M98" s="6" t="s">
        <v>107</v>
      </c>
      <c r="N98" s="118" t="s">
        <v>108</v>
      </c>
      <c r="O98" s="124" t="s">
        <v>686</v>
      </c>
      <c r="P98" s="37">
        <v>76436</v>
      </c>
      <c r="Q98" s="2" t="s">
        <v>134</v>
      </c>
      <c r="R98" s="8">
        <v>0.42199999999999999</v>
      </c>
      <c r="S98" s="46">
        <v>130</v>
      </c>
      <c r="T98" s="46">
        <v>1</v>
      </c>
      <c r="U98" s="46">
        <v>0</v>
      </c>
      <c r="V98" s="26">
        <v>0</v>
      </c>
      <c r="W98" s="24"/>
      <c r="X98" s="26" t="s">
        <v>206</v>
      </c>
      <c r="Y98" s="119">
        <v>9</v>
      </c>
      <c r="Z98" s="2">
        <v>4</v>
      </c>
      <c r="AA98" s="2">
        <v>24</v>
      </c>
      <c r="AB98" s="2">
        <v>76</v>
      </c>
      <c r="AC98" s="2">
        <v>110</v>
      </c>
      <c r="AD98" s="40">
        <v>120</v>
      </c>
    </row>
    <row r="99" spans="1:30" ht="14.5" customHeight="1">
      <c r="A99" s="14" t="s">
        <v>53</v>
      </c>
      <c r="B99" s="2" t="s">
        <v>158</v>
      </c>
      <c r="C99" s="5" t="s">
        <v>78</v>
      </c>
      <c r="D99" s="30">
        <v>0.88</v>
      </c>
      <c r="E99" s="30">
        <v>0.98199999999999998</v>
      </c>
      <c r="F99" s="100">
        <f t="shared" si="3"/>
        <v>86.415999999999997</v>
      </c>
      <c r="G99" s="112"/>
      <c r="H99" s="3" t="s">
        <v>164</v>
      </c>
      <c r="I99" s="3" t="s">
        <v>151</v>
      </c>
      <c r="J99" s="5" t="s">
        <v>145</v>
      </c>
      <c r="K99" s="32" t="s">
        <v>191</v>
      </c>
      <c r="L99" s="6" t="s">
        <v>12</v>
      </c>
      <c r="M99" s="6" t="s">
        <v>91</v>
      </c>
      <c r="N99" s="118" t="s">
        <v>93</v>
      </c>
      <c r="O99" s="124" t="s">
        <v>682</v>
      </c>
      <c r="P99" s="37">
        <v>67748</v>
      </c>
      <c r="Q99" s="2" t="s">
        <v>132</v>
      </c>
      <c r="R99" s="8">
        <v>0.42299999999999999</v>
      </c>
      <c r="S99" s="46">
        <v>100</v>
      </c>
      <c r="T99" s="46">
        <v>1</v>
      </c>
      <c r="U99" s="46">
        <v>0</v>
      </c>
      <c r="V99" s="26">
        <v>0</v>
      </c>
      <c r="W99" s="24"/>
      <c r="X99" s="26" t="s">
        <v>206</v>
      </c>
      <c r="Y99" s="119">
        <v>7</v>
      </c>
      <c r="Z99" s="2">
        <v>10</v>
      </c>
      <c r="AA99" s="2">
        <v>16</v>
      </c>
      <c r="AB99" s="2">
        <v>64</v>
      </c>
      <c r="AC99" s="2">
        <v>93</v>
      </c>
      <c r="AD99" s="40">
        <v>94</v>
      </c>
    </row>
    <row r="100" spans="1:30" ht="14.5" customHeight="1">
      <c r="A100" s="14" t="s">
        <v>54</v>
      </c>
      <c r="B100" s="2" t="s">
        <v>158</v>
      </c>
      <c r="C100" s="5" t="s">
        <v>78</v>
      </c>
      <c r="D100" s="30">
        <v>0.9</v>
      </c>
      <c r="E100" s="30">
        <v>0.98919999999999997</v>
      </c>
      <c r="F100" s="100">
        <f t="shared" si="3"/>
        <v>89.027999999999992</v>
      </c>
      <c r="G100" s="112"/>
      <c r="H100" s="3" t="s">
        <v>164</v>
      </c>
      <c r="I100" s="3" t="s">
        <v>151</v>
      </c>
      <c r="J100" s="5" t="s">
        <v>145</v>
      </c>
      <c r="K100" s="32" t="s">
        <v>192</v>
      </c>
      <c r="L100" s="6" t="s">
        <v>12</v>
      </c>
      <c r="M100" s="6" t="s">
        <v>91</v>
      </c>
      <c r="N100" s="118" t="s">
        <v>93</v>
      </c>
      <c r="O100" s="124" t="s">
        <v>667</v>
      </c>
      <c r="P100" s="37">
        <v>68851</v>
      </c>
      <c r="Q100" s="2" t="s">
        <v>129</v>
      </c>
      <c r="R100" s="8">
        <v>0.42399999999999999</v>
      </c>
      <c r="S100" s="46">
        <v>101</v>
      </c>
      <c r="T100" s="46">
        <v>0</v>
      </c>
      <c r="U100" s="46">
        <v>0</v>
      </c>
      <c r="V100" s="26">
        <v>1</v>
      </c>
      <c r="W100" s="24"/>
      <c r="X100" s="26" t="s">
        <v>206</v>
      </c>
      <c r="Y100" s="119">
        <v>9</v>
      </c>
      <c r="Z100" s="2">
        <v>10</v>
      </c>
      <c r="AA100" s="2">
        <v>24</v>
      </c>
      <c r="AB100" s="2">
        <v>72</v>
      </c>
      <c r="AC100" s="2">
        <v>92</v>
      </c>
      <c r="AD100" s="40">
        <v>99</v>
      </c>
    </row>
    <row r="101" spans="1:30" ht="14.5" customHeight="1">
      <c r="A101" s="14" t="s">
        <v>55</v>
      </c>
      <c r="B101" s="2" t="s">
        <v>158</v>
      </c>
      <c r="C101" s="5" t="s">
        <v>78</v>
      </c>
      <c r="D101" s="30">
        <v>0.89</v>
      </c>
      <c r="E101" s="30">
        <v>0.98229999999999995</v>
      </c>
      <c r="F101" s="100">
        <f t="shared" si="3"/>
        <v>87.424700000000001</v>
      </c>
      <c r="G101" s="112"/>
      <c r="H101" s="3" t="s">
        <v>164</v>
      </c>
      <c r="I101" s="3" t="s">
        <v>151</v>
      </c>
      <c r="J101" s="5" t="s">
        <v>145</v>
      </c>
      <c r="K101" s="32" t="s">
        <v>193</v>
      </c>
      <c r="L101" s="6" t="s">
        <v>12</v>
      </c>
      <c r="M101" s="6" t="s">
        <v>91</v>
      </c>
      <c r="N101" s="118" t="s">
        <v>93</v>
      </c>
      <c r="O101" s="124" t="s">
        <v>688</v>
      </c>
      <c r="P101" s="37">
        <v>69824</v>
      </c>
      <c r="Q101" s="2" t="s">
        <v>128</v>
      </c>
      <c r="R101" s="8">
        <v>0.42299999999999999</v>
      </c>
      <c r="S101" s="46">
        <v>105</v>
      </c>
      <c r="T101" s="46">
        <v>0</v>
      </c>
      <c r="U101" s="46">
        <v>0</v>
      </c>
      <c r="V101" s="26">
        <v>1</v>
      </c>
      <c r="W101" s="24"/>
      <c r="X101" s="26" t="s">
        <v>206</v>
      </c>
      <c r="Y101" s="119">
        <v>9</v>
      </c>
      <c r="Z101" s="2">
        <v>12</v>
      </c>
      <c r="AA101" s="2">
        <v>24</v>
      </c>
      <c r="AB101" s="2">
        <v>66</v>
      </c>
      <c r="AC101" s="2">
        <v>93</v>
      </c>
      <c r="AD101" s="40">
        <v>92</v>
      </c>
    </row>
    <row r="102" spans="1:30" ht="14.5" customHeight="1">
      <c r="A102" s="14" t="s">
        <v>56</v>
      </c>
      <c r="B102" s="2" t="s">
        <v>158</v>
      </c>
      <c r="C102" s="5" t="s">
        <v>83</v>
      </c>
      <c r="D102" s="30">
        <v>0.56999999999999995</v>
      </c>
      <c r="E102" s="30">
        <v>0.89410000000000001</v>
      </c>
      <c r="F102" s="100">
        <f t="shared" si="2"/>
        <v>50.963700000000003</v>
      </c>
      <c r="G102" s="112"/>
      <c r="H102" s="3"/>
      <c r="I102" s="31"/>
      <c r="J102" s="5" t="s">
        <v>145</v>
      </c>
      <c r="K102" s="32" t="s">
        <v>194</v>
      </c>
      <c r="L102" s="6" t="s">
        <v>12</v>
      </c>
      <c r="M102" s="6" t="s">
        <v>91</v>
      </c>
      <c r="N102" s="118" t="s">
        <v>93</v>
      </c>
      <c r="O102" s="124" t="s">
        <v>680</v>
      </c>
      <c r="P102" s="37">
        <v>56332</v>
      </c>
      <c r="Q102" s="2" t="s">
        <v>135</v>
      </c>
      <c r="R102" s="8">
        <v>0.51500000000000001</v>
      </c>
      <c r="S102" s="46">
        <v>91</v>
      </c>
      <c r="T102" s="46">
        <v>0</v>
      </c>
      <c r="U102" s="46">
        <v>1</v>
      </c>
      <c r="V102" s="26">
        <v>1</v>
      </c>
      <c r="W102" s="24"/>
      <c r="X102" s="26" t="s">
        <v>206</v>
      </c>
      <c r="Y102" s="119">
        <v>4</v>
      </c>
      <c r="Z102" s="2">
        <v>7</v>
      </c>
      <c r="AA102" s="2">
        <v>4</v>
      </c>
      <c r="AB102" s="2">
        <v>8</v>
      </c>
      <c r="AC102" s="2">
        <v>131</v>
      </c>
      <c r="AD102" s="40">
        <v>75</v>
      </c>
    </row>
    <row r="103" spans="1:30" ht="14.5" customHeight="1">
      <c r="A103" s="14" t="s">
        <v>57</v>
      </c>
      <c r="B103" s="2" t="s">
        <v>158</v>
      </c>
      <c r="C103" s="5" t="s">
        <v>84</v>
      </c>
      <c r="D103" s="30">
        <v>0.88</v>
      </c>
      <c r="E103" s="30">
        <v>0.95799999999999996</v>
      </c>
      <c r="F103" s="100">
        <f t="shared" si="2"/>
        <v>84.304000000000002</v>
      </c>
      <c r="G103" s="113" t="s">
        <v>153</v>
      </c>
      <c r="H103" s="3" t="s">
        <v>154</v>
      </c>
      <c r="I103" s="3" t="s">
        <v>155</v>
      </c>
      <c r="J103" s="5" t="s">
        <v>145</v>
      </c>
      <c r="K103" s="32" t="s">
        <v>195</v>
      </c>
      <c r="L103" s="6" t="s">
        <v>144</v>
      </c>
      <c r="M103" s="6" t="s">
        <v>13</v>
      </c>
      <c r="N103" s="118" t="s">
        <v>92</v>
      </c>
      <c r="O103" s="124" t="s">
        <v>694</v>
      </c>
      <c r="P103" s="37">
        <v>71918</v>
      </c>
      <c r="Q103" s="2" t="s">
        <v>127</v>
      </c>
      <c r="R103" s="8">
        <v>0.434</v>
      </c>
      <c r="S103" s="46">
        <v>93</v>
      </c>
      <c r="T103" s="46">
        <v>1</v>
      </c>
      <c r="U103" s="46">
        <v>1</v>
      </c>
      <c r="V103" s="26">
        <v>0</v>
      </c>
      <c r="W103" s="24"/>
      <c r="X103" s="26" t="s">
        <v>206</v>
      </c>
      <c r="Y103" s="119">
        <v>13</v>
      </c>
      <c r="Z103" s="2">
        <v>3</v>
      </c>
      <c r="AA103" s="2">
        <v>20</v>
      </c>
      <c r="AB103" s="2">
        <v>32</v>
      </c>
      <c r="AC103" s="2">
        <v>100</v>
      </c>
      <c r="AD103" s="40">
        <v>130</v>
      </c>
    </row>
    <row r="104" spans="1:30" ht="14.5" customHeight="1" thickBot="1">
      <c r="A104" s="14" t="s">
        <v>58</v>
      </c>
      <c r="B104" s="2" t="s">
        <v>157</v>
      </c>
      <c r="C104" s="5" t="s">
        <v>85</v>
      </c>
      <c r="D104" s="30">
        <v>0.91</v>
      </c>
      <c r="E104" s="30">
        <v>0.94840000000000002</v>
      </c>
      <c r="F104" s="100">
        <f t="shared" si="2"/>
        <v>86.304400000000001</v>
      </c>
      <c r="G104" s="112"/>
      <c r="H104" s="3" t="s">
        <v>167</v>
      </c>
      <c r="I104" s="3" t="s">
        <v>156</v>
      </c>
      <c r="J104" s="5" t="s">
        <v>145</v>
      </c>
      <c r="K104" s="34" t="s">
        <v>196</v>
      </c>
      <c r="L104" s="6" t="s">
        <v>12</v>
      </c>
      <c r="M104" s="6" t="s">
        <v>91</v>
      </c>
      <c r="N104" s="118" t="s">
        <v>93</v>
      </c>
      <c r="O104" s="124" t="s">
        <v>679</v>
      </c>
      <c r="P104" s="37">
        <v>41040</v>
      </c>
      <c r="Q104" s="2" t="s">
        <v>136</v>
      </c>
      <c r="R104" s="8">
        <v>0.55300000000000005</v>
      </c>
      <c r="S104" s="46">
        <v>59</v>
      </c>
      <c r="T104" s="46">
        <v>1</v>
      </c>
      <c r="U104" s="46">
        <v>0</v>
      </c>
      <c r="V104" s="26">
        <v>0</v>
      </c>
      <c r="W104" s="24"/>
      <c r="X104" s="26" t="s">
        <v>206</v>
      </c>
      <c r="Y104" s="119">
        <v>6</v>
      </c>
      <c r="Z104" s="2">
        <v>1</v>
      </c>
      <c r="AA104" s="2">
        <v>32</v>
      </c>
      <c r="AB104" s="2">
        <v>0</v>
      </c>
      <c r="AC104" s="2">
        <v>115</v>
      </c>
      <c r="AD104" s="40">
        <v>27</v>
      </c>
    </row>
    <row r="105" spans="1:30" ht="14.5" customHeight="1">
      <c r="A105" s="14" t="s">
        <v>59</v>
      </c>
      <c r="B105" s="2" t="s">
        <v>157</v>
      </c>
      <c r="C105" s="5" t="s">
        <v>86</v>
      </c>
      <c r="D105" s="30">
        <v>0.95</v>
      </c>
      <c r="E105" s="30">
        <v>0.97060000000000002</v>
      </c>
      <c r="F105" s="100">
        <f t="shared" si="2"/>
        <v>92.206999999999994</v>
      </c>
      <c r="G105" s="112"/>
      <c r="H105" s="3"/>
      <c r="I105" s="3" t="s">
        <v>159</v>
      </c>
      <c r="J105" s="5" t="s">
        <v>145</v>
      </c>
      <c r="K105" s="35" t="s">
        <v>269</v>
      </c>
      <c r="L105" s="6" t="s">
        <v>12</v>
      </c>
      <c r="M105" s="6" t="s">
        <v>95</v>
      </c>
      <c r="N105" s="118" t="s">
        <v>100</v>
      </c>
      <c r="O105" s="124" t="s">
        <v>681</v>
      </c>
      <c r="P105" s="38">
        <v>68382</v>
      </c>
      <c r="Q105" s="2" t="s">
        <v>137</v>
      </c>
      <c r="R105" s="8">
        <v>0.46100000000000002</v>
      </c>
      <c r="S105" s="46">
        <v>115</v>
      </c>
      <c r="T105" s="46">
        <v>0</v>
      </c>
      <c r="U105" s="46">
        <v>0</v>
      </c>
      <c r="V105" s="26">
        <v>0</v>
      </c>
      <c r="W105" s="24"/>
      <c r="X105" s="26" t="s">
        <v>206</v>
      </c>
      <c r="Y105" s="119">
        <v>5</v>
      </c>
      <c r="Z105" s="2">
        <v>4</v>
      </c>
      <c r="AA105" s="2">
        <v>36</v>
      </c>
      <c r="AB105" s="2">
        <v>6</v>
      </c>
      <c r="AC105" s="2">
        <v>93</v>
      </c>
      <c r="AD105" s="40">
        <v>82</v>
      </c>
    </row>
    <row r="106" spans="1:30" ht="14.5" customHeight="1">
      <c r="A106" s="14" t="s">
        <v>60</v>
      </c>
      <c r="B106" s="2" t="s">
        <v>157</v>
      </c>
      <c r="C106" s="5" t="s">
        <v>86</v>
      </c>
      <c r="D106" s="30">
        <v>0.94</v>
      </c>
      <c r="E106" s="30">
        <v>0.96040000000000003</v>
      </c>
      <c r="F106" s="100">
        <f t="shared" si="2"/>
        <v>90.277600000000007</v>
      </c>
      <c r="G106" s="112"/>
      <c r="H106" s="3"/>
      <c r="I106" s="3" t="s">
        <v>159</v>
      </c>
      <c r="J106" s="5" t="s">
        <v>145</v>
      </c>
      <c r="K106" s="35" t="s">
        <v>197</v>
      </c>
      <c r="L106" s="6" t="s">
        <v>12</v>
      </c>
      <c r="M106" s="6" t="s">
        <v>95</v>
      </c>
      <c r="N106" s="118" t="s">
        <v>103</v>
      </c>
      <c r="O106" s="124" t="s">
        <v>689</v>
      </c>
      <c r="P106" s="37">
        <v>68355</v>
      </c>
      <c r="Q106" s="2" t="s">
        <v>138</v>
      </c>
      <c r="R106" s="8">
        <v>0.46100000000000002</v>
      </c>
      <c r="S106" s="46">
        <v>114</v>
      </c>
      <c r="T106" s="46">
        <v>0</v>
      </c>
      <c r="U106" s="46">
        <v>0</v>
      </c>
      <c r="V106" s="26">
        <v>0</v>
      </c>
      <c r="W106" s="24"/>
      <c r="X106" s="26" t="s">
        <v>206</v>
      </c>
      <c r="Y106" s="119">
        <v>5</v>
      </c>
      <c r="Z106" s="2">
        <v>3</v>
      </c>
      <c r="AA106" s="2">
        <v>38</v>
      </c>
      <c r="AB106" s="2">
        <v>8</v>
      </c>
      <c r="AC106" s="2">
        <v>92</v>
      </c>
      <c r="AD106" s="40">
        <v>89</v>
      </c>
    </row>
    <row r="107" spans="1:30" ht="14.5" customHeight="1">
      <c r="A107" s="14" t="s">
        <v>61</v>
      </c>
      <c r="B107" s="2" t="s">
        <v>157</v>
      </c>
      <c r="C107" s="5" t="s">
        <v>87</v>
      </c>
      <c r="D107" s="30">
        <v>0.96</v>
      </c>
      <c r="E107" s="30">
        <v>0.96719999999999995</v>
      </c>
      <c r="F107" s="100">
        <f t="shared" si="2"/>
        <v>92.851199999999992</v>
      </c>
      <c r="G107" s="112"/>
      <c r="H107" s="3"/>
      <c r="I107" s="3" t="s">
        <v>159</v>
      </c>
      <c r="J107" s="5" t="s">
        <v>145</v>
      </c>
      <c r="K107" s="35" t="s">
        <v>198</v>
      </c>
      <c r="L107" s="6" t="s">
        <v>12</v>
      </c>
      <c r="M107" s="6" t="s">
        <v>95</v>
      </c>
      <c r="N107" s="118" t="s">
        <v>109</v>
      </c>
      <c r="O107" s="124" t="s">
        <v>678</v>
      </c>
      <c r="P107" s="38">
        <v>68486</v>
      </c>
      <c r="Q107" s="2" t="s">
        <v>139</v>
      </c>
      <c r="R107" s="8">
        <v>0.46100000000000002</v>
      </c>
      <c r="S107" s="46">
        <v>111</v>
      </c>
      <c r="T107" s="46">
        <v>0</v>
      </c>
      <c r="U107" s="46">
        <v>0</v>
      </c>
      <c r="V107" s="26">
        <v>0</v>
      </c>
      <c r="W107" s="24"/>
      <c r="X107" s="26" t="s">
        <v>206</v>
      </c>
      <c r="Y107" s="119">
        <v>4</v>
      </c>
      <c r="Z107" s="2">
        <v>2</v>
      </c>
      <c r="AA107" s="2">
        <v>38</v>
      </c>
      <c r="AB107" s="2">
        <v>10</v>
      </c>
      <c r="AC107" s="2">
        <v>87</v>
      </c>
      <c r="AD107" s="40">
        <v>90</v>
      </c>
    </row>
    <row r="108" spans="1:30" ht="14.5" customHeight="1">
      <c r="A108" s="14" t="s">
        <v>62</v>
      </c>
      <c r="B108" s="2" t="s">
        <v>157</v>
      </c>
      <c r="C108" s="5" t="s">
        <v>87</v>
      </c>
      <c r="D108" s="30">
        <v>0.94</v>
      </c>
      <c r="E108" s="30">
        <v>0.97050000000000003</v>
      </c>
      <c r="F108" s="100">
        <f t="shared" si="2"/>
        <v>91.227000000000004</v>
      </c>
      <c r="G108" s="112"/>
      <c r="H108" s="3"/>
      <c r="I108" s="3" t="s">
        <v>159</v>
      </c>
      <c r="J108" s="5" t="s">
        <v>145</v>
      </c>
      <c r="K108" s="35" t="s">
        <v>199</v>
      </c>
      <c r="L108" s="6" t="s">
        <v>12</v>
      </c>
      <c r="M108" s="6" t="s">
        <v>107</v>
      </c>
      <c r="N108" s="118" t="s">
        <v>108</v>
      </c>
      <c r="O108" s="124" t="s">
        <v>702</v>
      </c>
      <c r="P108" s="37">
        <v>68694</v>
      </c>
      <c r="Q108" s="2" t="s">
        <v>117</v>
      </c>
      <c r="R108" s="8">
        <v>0.46100000000000002</v>
      </c>
      <c r="S108" s="46">
        <v>111</v>
      </c>
      <c r="T108" s="46">
        <v>0</v>
      </c>
      <c r="U108" s="46">
        <v>0</v>
      </c>
      <c r="V108" s="26">
        <v>0</v>
      </c>
      <c r="W108" s="24"/>
      <c r="X108" s="26" t="s">
        <v>206</v>
      </c>
      <c r="Y108" s="119">
        <v>7</v>
      </c>
      <c r="Z108" s="2">
        <v>2</v>
      </c>
      <c r="AA108" s="2">
        <v>30</v>
      </c>
      <c r="AB108" s="2">
        <v>14</v>
      </c>
      <c r="AC108" s="2">
        <v>87</v>
      </c>
      <c r="AD108" s="40">
        <v>90</v>
      </c>
    </row>
    <row r="109" spans="1:30" ht="14.5" customHeight="1">
      <c r="A109" s="14" t="s">
        <v>63</v>
      </c>
      <c r="B109" s="2" t="s">
        <v>158</v>
      </c>
      <c r="C109" s="5" t="s">
        <v>88</v>
      </c>
      <c r="D109" s="30">
        <v>0.88</v>
      </c>
      <c r="E109" s="30">
        <v>0.92959999999999998</v>
      </c>
      <c r="F109" s="100">
        <f t="shared" si="2"/>
        <v>81.8048</v>
      </c>
      <c r="G109" s="113" t="s">
        <v>160</v>
      </c>
      <c r="H109" s="3" t="s">
        <v>161</v>
      </c>
      <c r="I109" s="3" t="s">
        <v>162</v>
      </c>
      <c r="J109" s="5" t="s">
        <v>145</v>
      </c>
      <c r="K109" s="36" t="s">
        <v>200</v>
      </c>
      <c r="L109" s="6" t="s">
        <v>12</v>
      </c>
      <c r="M109" s="6" t="s">
        <v>13</v>
      </c>
      <c r="N109" s="118" t="s">
        <v>276</v>
      </c>
      <c r="O109" s="124" t="s">
        <v>691</v>
      </c>
      <c r="P109" s="37">
        <v>39651</v>
      </c>
      <c r="Q109" s="2" t="s">
        <v>140</v>
      </c>
      <c r="R109" s="8">
        <v>0.48199999999999998</v>
      </c>
      <c r="S109" s="46">
        <v>52</v>
      </c>
      <c r="T109" s="46">
        <v>0</v>
      </c>
      <c r="U109" s="46">
        <v>0</v>
      </c>
      <c r="V109" s="26">
        <v>1</v>
      </c>
      <c r="W109" s="24"/>
      <c r="X109" s="26" t="s">
        <v>206</v>
      </c>
      <c r="Y109" s="119">
        <v>5</v>
      </c>
      <c r="Z109" s="2">
        <v>1</v>
      </c>
      <c r="AA109" s="2">
        <v>0</v>
      </c>
      <c r="AB109" s="2">
        <v>0</v>
      </c>
      <c r="AC109" s="2">
        <v>87</v>
      </c>
      <c r="AD109" s="40">
        <v>125</v>
      </c>
    </row>
    <row r="110" spans="1:30" ht="14.5" customHeight="1">
      <c r="A110" s="14" t="s">
        <v>64</v>
      </c>
      <c r="B110" s="2" t="s">
        <v>158</v>
      </c>
      <c r="C110" s="5" t="s">
        <v>89</v>
      </c>
      <c r="D110" s="30">
        <v>0.93</v>
      </c>
      <c r="E110" s="30">
        <v>0.96460000000000001</v>
      </c>
      <c r="F110" s="100">
        <f t="shared" si="2"/>
        <v>89.707800000000006</v>
      </c>
      <c r="G110" s="113" t="s">
        <v>160</v>
      </c>
      <c r="H110" s="3" t="s">
        <v>161</v>
      </c>
      <c r="I110" s="3" t="s">
        <v>162</v>
      </c>
      <c r="J110" s="5" t="s">
        <v>145</v>
      </c>
      <c r="K110" s="32" t="s">
        <v>201</v>
      </c>
      <c r="L110" s="6" t="s">
        <v>12</v>
      </c>
      <c r="M110" s="6" t="s">
        <v>13</v>
      </c>
      <c r="N110" s="118" t="s">
        <v>92</v>
      </c>
      <c r="O110" s="124" t="s">
        <v>675</v>
      </c>
      <c r="P110" s="37">
        <v>40176</v>
      </c>
      <c r="Q110" s="2" t="s">
        <v>141</v>
      </c>
      <c r="R110" s="8">
        <v>0.48499999999999999</v>
      </c>
      <c r="S110" s="46">
        <v>53</v>
      </c>
      <c r="T110" s="46">
        <v>0</v>
      </c>
      <c r="U110" s="46">
        <v>0</v>
      </c>
      <c r="V110" s="26">
        <v>2</v>
      </c>
      <c r="W110" s="25"/>
      <c r="X110" s="26" t="s">
        <v>206</v>
      </c>
      <c r="Y110" s="119">
        <v>5</v>
      </c>
      <c r="Z110" s="2">
        <v>2</v>
      </c>
      <c r="AA110" s="2">
        <v>0</v>
      </c>
      <c r="AB110" s="2">
        <v>2</v>
      </c>
      <c r="AC110" s="2">
        <v>90</v>
      </c>
      <c r="AD110" s="40">
        <v>119</v>
      </c>
    </row>
    <row r="111" spans="1:30" ht="14.5" customHeight="1">
      <c r="A111" s="14" t="s">
        <v>65</v>
      </c>
      <c r="B111" s="2" t="s">
        <v>158</v>
      </c>
      <c r="C111" s="5" t="s">
        <v>88</v>
      </c>
      <c r="D111" s="30">
        <v>0.92</v>
      </c>
      <c r="E111" s="30">
        <v>0.97330000000000005</v>
      </c>
      <c r="F111" s="100">
        <f t="shared" si="2"/>
        <v>89.543600000000012</v>
      </c>
      <c r="G111" s="113" t="s">
        <v>160</v>
      </c>
      <c r="H111" s="3" t="s">
        <v>161</v>
      </c>
      <c r="I111" s="3" t="s">
        <v>162</v>
      </c>
      <c r="J111" s="5" t="s">
        <v>145</v>
      </c>
      <c r="K111" s="32" t="s">
        <v>202</v>
      </c>
      <c r="L111" s="6" t="s">
        <v>12</v>
      </c>
      <c r="M111" s="6" t="s">
        <v>13</v>
      </c>
      <c r="N111" s="118" t="s">
        <v>92</v>
      </c>
      <c r="O111" s="124" t="s">
        <v>669</v>
      </c>
      <c r="P111" s="37">
        <v>40334</v>
      </c>
      <c r="Q111" s="2" t="s">
        <v>142</v>
      </c>
      <c r="R111" s="8">
        <v>0.48399999999999999</v>
      </c>
      <c r="S111" s="46">
        <v>54</v>
      </c>
      <c r="T111" s="46">
        <v>0</v>
      </c>
      <c r="U111" s="46">
        <v>0</v>
      </c>
      <c r="V111" s="26">
        <v>1</v>
      </c>
      <c r="W111" s="25"/>
      <c r="X111" s="26" t="s">
        <v>206</v>
      </c>
      <c r="Y111" s="119">
        <v>4</v>
      </c>
      <c r="Z111" s="2">
        <v>3</v>
      </c>
      <c r="AA111" s="2">
        <v>0</v>
      </c>
      <c r="AB111" s="2">
        <v>4</v>
      </c>
      <c r="AC111" s="2">
        <v>90</v>
      </c>
      <c r="AD111" s="40">
        <v>119</v>
      </c>
    </row>
    <row r="112" spans="1:30" ht="14.5" customHeight="1">
      <c r="A112" s="84" t="s">
        <v>66</v>
      </c>
      <c r="B112" s="85" t="s">
        <v>158</v>
      </c>
      <c r="C112" s="86" t="s">
        <v>90</v>
      </c>
      <c r="D112" s="87">
        <v>0.87</v>
      </c>
      <c r="E112" s="87">
        <v>0.94699999999999995</v>
      </c>
      <c r="F112" s="102">
        <f t="shared" ref="F112" si="4">100*(D112*E112)</f>
        <v>82.388999999999996</v>
      </c>
      <c r="G112" s="114" t="s">
        <v>160</v>
      </c>
      <c r="H112" s="88" t="s">
        <v>161</v>
      </c>
      <c r="I112" s="88" t="s">
        <v>163</v>
      </c>
      <c r="J112" s="86" t="s">
        <v>145</v>
      </c>
      <c r="K112" s="89" t="s">
        <v>203</v>
      </c>
      <c r="L112" s="90" t="s">
        <v>12</v>
      </c>
      <c r="M112" s="90" t="s">
        <v>95</v>
      </c>
      <c r="N112" s="120" t="s">
        <v>93</v>
      </c>
      <c r="O112" s="125" t="s">
        <v>674</v>
      </c>
      <c r="P112" s="91">
        <v>39718</v>
      </c>
      <c r="Q112" s="85" t="s">
        <v>143</v>
      </c>
      <c r="R112" s="92">
        <v>0.502</v>
      </c>
      <c r="S112" s="93">
        <v>52</v>
      </c>
      <c r="T112" s="93">
        <v>0</v>
      </c>
      <c r="U112" s="93">
        <v>0</v>
      </c>
      <c r="V112" s="95">
        <v>0</v>
      </c>
      <c r="W112" s="94"/>
      <c r="X112" s="95" t="s">
        <v>206</v>
      </c>
      <c r="Y112" s="132">
        <v>0</v>
      </c>
      <c r="Z112" s="85">
        <v>3</v>
      </c>
      <c r="AA112" s="85">
        <v>2</v>
      </c>
      <c r="AB112" s="85">
        <v>4</v>
      </c>
      <c r="AC112" s="85">
        <v>60</v>
      </c>
      <c r="AD112" s="96">
        <v>170</v>
      </c>
    </row>
    <row r="113" spans="1:30" ht="14.5" customHeight="1" thickBot="1">
      <c r="A113" s="15" t="s">
        <v>272</v>
      </c>
      <c r="B113" s="16" t="s">
        <v>158</v>
      </c>
      <c r="C113" s="19" t="s">
        <v>274</v>
      </c>
      <c r="D113" s="41">
        <v>0.52</v>
      </c>
      <c r="E113" s="41">
        <v>0.97699999999999998</v>
      </c>
      <c r="F113" s="103">
        <f t="shared" si="2"/>
        <v>50.804000000000002</v>
      </c>
      <c r="G113" s="115"/>
      <c r="H113" s="18"/>
      <c r="I113" s="18" t="s">
        <v>273</v>
      </c>
      <c r="J113" s="19" t="s">
        <v>145</v>
      </c>
      <c r="K113" s="116" t="s">
        <v>666</v>
      </c>
      <c r="L113" s="42" t="s">
        <v>96</v>
      </c>
      <c r="M113" s="42" t="s">
        <v>13</v>
      </c>
      <c r="N113" s="121" t="s">
        <v>92</v>
      </c>
      <c r="O113" s="126" t="s">
        <v>673</v>
      </c>
      <c r="P113" s="43">
        <v>39042</v>
      </c>
      <c r="Q113" s="16" t="s">
        <v>275</v>
      </c>
      <c r="R113" s="20">
        <v>0.47699999999999998</v>
      </c>
      <c r="S113" s="67">
        <v>69</v>
      </c>
      <c r="T113" s="67">
        <v>2</v>
      </c>
      <c r="U113" s="67">
        <v>0</v>
      </c>
      <c r="V113" s="27">
        <v>0</v>
      </c>
      <c r="W113" s="44"/>
      <c r="X113" s="27" t="s">
        <v>206</v>
      </c>
      <c r="Y113" s="133">
        <v>2</v>
      </c>
      <c r="Z113" s="16">
        <v>1</v>
      </c>
      <c r="AA113" s="16">
        <v>24</v>
      </c>
      <c r="AB113" s="16">
        <v>48</v>
      </c>
      <c r="AC113" s="16">
        <v>48</v>
      </c>
      <c r="AD113" s="45">
        <v>43</v>
      </c>
    </row>
    <row r="114" spans="1:30" ht="14.7" thickBot="1"/>
    <row r="115" spans="1:30" ht="14.5" customHeight="1">
      <c r="A115" s="55" t="s">
        <v>215</v>
      </c>
      <c r="B115" s="56" t="s">
        <v>1</v>
      </c>
      <c r="C115" s="58" t="s">
        <v>215</v>
      </c>
      <c r="D115" s="80" t="s">
        <v>215</v>
      </c>
      <c r="E115" s="80" t="s">
        <v>215</v>
      </c>
      <c r="F115" s="80" t="s">
        <v>215</v>
      </c>
      <c r="G115" s="57" t="s">
        <v>268</v>
      </c>
      <c r="H115" s="57" t="s">
        <v>258</v>
      </c>
      <c r="I115" s="57" t="s">
        <v>218</v>
      </c>
      <c r="J115" s="57" t="s">
        <v>628</v>
      </c>
      <c r="K115" s="81" t="s">
        <v>629</v>
      </c>
      <c r="L115" s="82" t="s">
        <v>215</v>
      </c>
      <c r="M115" s="82" t="s">
        <v>215</v>
      </c>
      <c r="N115" s="134" t="s">
        <v>1089</v>
      </c>
      <c r="O115" s="62" t="s">
        <v>630</v>
      </c>
      <c r="P115" s="61">
        <v>121750</v>
      </c>
      <c r="Q115" s="56" t="s">
        <v>215</v>
      </c>
      <c r="R115" s="59">
        <v>0.499</v>
      </c>
      <c r="S115" s="61" t="s">
        <v>256</v>
      </c>
      <c r="T115" s="61" t="s">
        <v>256</v>
      </c>
      <c r="U115" s="61" t="s">
        <v>256</v>
      </c>
      <c r="V115" s="61" t="s">
        <v>256</v>
      </c>
      <c r="W115" s="60" t="s">
        <v>421</v>
      </c>
      <c r="X115" s="83" t="s">
        <v>214</v>
      </c>
      <c r="Y115" s="62">
        <v>3</v>
      </c>
      <c r="Z115" s="56">
        <v>4</v>
      </c>
      <c r="AA115" s="56">
        <v>12</v>
      </c>
      <c r="AB115" s="56">
        <v>8</v>
      </c>
      <c r="AC115" s="56">
        <v>127</v>
      </c>
      <c r="AD115" s="63">
        <v>132</v>
      </c>
    </row>
    <row r="116" spans="1:30" ht="14.5" customHeight="1">
      <c r="A116" s="14" t="s">
        <v>215</v>
      </c>
      <c r="B116" s="2" t="s">
        <v>157</v>
      </c>
      <c r="C116" s="7" t="s">
        <v>215</v>
      </c>
      <c r="D116" s="50" t="s">
        <v>215</v>
      </c>
      <c r="E116" s="50" t="s">
        <v>215</v>
      </c>
      <c r="F116" s="50" t="s">
        <v>215</v>
      </c>
      <c r="G116" s="3" t="s">
        <v>661</v>
      </c>
      <c r="H116" s="3" t="s">
        <v>662</v>
      </c>
      <c r="I116" s="3" t="s">
        <v>460</v>
      </c>
      <c r="J116" s="5" t="s">
        <v>145</v>
      </c>
      <c r="K116" s="75" t="s">
        <v>631</v>
      </c>
      <c r="L116" s="77" t="s">
        <v>215</v>
      </c>
      <c r="M116" s="77" t="s">
        <v>215</v>
      </c>
      <c r="N116" s="135" t="s">
        <v>1090</v>
      </c>
      <c r="O116" s="13" t="s">
        <v>632</v>
      </c>
      <c r="P116" s="46">
        <v>163832</v>
      </c>
      <c r="Q116" s="2" t="s">
        <v>215</v>
      </c>
      <c r="R116" s="8">
        <v>0.35199999999999998</v>
      </c>
      <c r="S116" s="46" t="s">
        <v>256</v>
      </c>
      <c r="T116" s="46" t="s">
        <v>256</v>
      </c>
      <c r="U116" s="46" t="s">
        <v>256</v>
      </c>
      <c r="V116" s="46" t="s">
        <v>256</v>
      </c>
      <c r="W116" s="25" t="s">
        <v>633</v>
      </c>
      <c r="X116" s="26" t="s">
        <v>467</v>
      </c>
      <c r="Y116" s="13">
        <v>4</v>
      </c>
      <c r="Z116" s="2">
        <v>11</v>
      </c>
      <c r="AA116" s="2">
        <v>140</v>
      </c>
      <c r="AB116" s="2">
        <v>44</v>
      </c>
      <c r="AC116" s="2">
        <v>159</v>
      </c>
      <c r="AD116" s="40">
        <v>222</v>
      </c>
    </row>
    <row r="117" spans="1:30" ht="14.5" customHeight="1">
      <c r="A117" s="14" t="s">
        <v>215</v>
      </c>
      <c r="B117" s="2" t="s">
        <v>157</v>
      </c>
      <c r="C117" s="7" t="s">
        <v>215</v>
      </c>
      <c r="D117" s="50" t="s">
        <v>215</v>
      </c>
      <c r="E117" s="50" t="s">
        <v>215</v>
      </c>
      <c r="F117" s="50" t="s">
        <v>215</v>
      </c>
      <c r="G117" s="3" t="s">
        <v>661</v>
      </c>
      <c r="H117" s="3" t="s">
        <v>662</v>
      </c>
      <c r="I117" s="3" t="s">
        <v>460</v>
      </c>
      <c r="J117" s="3" t="s">
        <v>634</v>
      </c>
      <c r="K117" s="75" t="s">
        <v>635</v>
      </c>
      <c r="L117" s="77" t="s">
        <v>215</v>
      </c>
      <c r="M117" s="77" t="s">
        <v>215</v>
      </c>
      <c r="N117" s="135" t="s">
        <v>636</v>
      </c>
      <c r="O117" s="13" t="s">
        <v>637</v>
      </c>
      <c r="P117" s="46">
        <v>168903</v>
      </c>
      <c r="Q117" s="2" t="s">
        <v>215</v>
      </c>
      <c r="R117" s="8">
        <v>0.35299999999999998</v>
      </c>
      <c r="S117" s="46" t="s">
        <v>256</v>
      </c>
      <c r="T117" s="46" t="s">
        <v>256</v>
      </c>
      <c r="U117" s="46" t="s">
        <v>256</v>
      </c>
      <c r="V117" s="46" t="s">
        <v>256</v>
      </c>
      <c r="W117" s="25" t="s">
        <v>496</v>
      </c>
      <c r="X117" s="26" t="s">
        <v>467</v>
      </c>
      <c r="Y117" s="13">
        <v>6</v>
      </c>
      <c r="Z117" s="2">
        <v>12</v>
      </c>
      <c r="AA117" s="2">
        <v>152</v>
      </c>
      <c r="AB117" s="2">
        <v>56</v>
      </c>
      <c r="AC117" s="2">
        <v>165</v>
      </c>
      <c r="AD117" s="40">
        <v>224</v>
      </c>
    </row>
    <row r="118" spans="1:30" ht="14.5" customHeight="1">
      <c r="A118" s="14" t="s">
        <v>215</v>
      </c>
      <c r="B118" s="2" t="s">
        <v>157</v>
      </c>
      <c r="C118" s="7" t="s">
        <v>215</v>
      </c>
      <c r="D118" s="50" t="s">
        <v>215</v>
      </c>
      <c r="E118" s="50" t="s">
        <v>215</v>
      </c>
      <c r="F118" s="50" t="s">
        <v>215</v>
      </c>
      <c r="G118" s="3" t="s">
        <v>661</v>
      </c>
      <c r="H118" s="3" t="s">
        <v>662</v>
      </c>
      <c r="I118" s="3" t="s">
        <v>460</v>
      </c>
      <c r="J118" s="5" t="s">
        <v>145</v>
      </c>
      <c r="K118" s="75" t="s">
        <v>638</v>
      </c>
      <c r="L118" s="77" t="s">
        <v>215</v>
      </c>
      <c r="M118" s="77" t="s">
        <v>215</v>
      </c>
      <c r="N118" s="135" t="s">
        <v>1091</v>
      </c>
      <c r="O118" s="13" t="s">
        <v>639</v>
      </c>
      <c r="P118" s="46">
        <v>168706</v>
      </c>
      <c r="Q118" s="2" t="s">
        <v>215</v>
      </c>
      <c r="R118" s="8">
        <v>0.35299999999999998</v>
      </c>
      <c r="S118" s="46" t="s">
        <v>256</v>
      </c>
      <c r="T118" s="46" t="s">
        <v>256</v>
      </c>
      <c r="U118" s="46" t="s">
        <v>256</v>
      </c>
      <c r="V118" s="46" t="s">
        <v>256</v>
      </c>
      <c r="W118" s="25" t="s">
        <v>466</v>
      </c>
      <c r="X118" s="26" t="s">
        <v>467</v>
      </c>
      <c r="Y118" s="13">
        <v>3</v>
      </c>
      <c r="Z118" s="2">
        <v>8</v>
      </c>
      <c r="AA118" s="2">
        <v>140</v>
      </c>
      <c r="AB118" s="2">
        <v>52</v>
      </c>
      <c r="AC118" s="2">
        <v>171</v>
      </c>
      <c r="AD118" s="40">
        <v>221</v>
      </c>
    </row>
    <row r="119" spans="1:30" ht="14.5" customHeight="1">
      <c r="A119" s="14" t="s">
        <v>215</v>
      </c>
      <c r="B119" s="2" t="s">
        <v>158</v>
      </c>
      <c r="C119" s="7" t="s">
        <v>215</v>
      </c>
      <c r="D119" s="50" t="s">
        <v>215</v>
      </c>
      <c r="E119" s="50" t="s">
        <v>215</v>
      </c>
      <c r="F119" s="50" t="s">
        <v>215</v>
      </c>
      <c r="G119" s="3" t="s">
        <v>160</v>
      </c>
      <c r="H119" s="3" t="s">
        <v>161</v>
      </c>
      <c r="I119" s="3" t="s">
        <v>162</v>
      </c>
      <c r="J119" s="3" t="s">
        <v>640</v>
      </c>
      <c r="K119" s="75" t="s">
        <v>641</v>
      </c>
      <c r="L119" s="77" t="s">
        <v>215</v>
      </c>
      <c r="M119" s="77" t="s">
        <v>215</v>
      </c>
      <c r="N119" s="135" t="s">
        <v>1092</v>
      </c>
      <c r="O119" s="13" t="s">
        <v>642</v>
      </c>
      <c r="P119" s="46">
        <v>39937</v>
      </c>
      <c r="Q119" s="2" t="s">
        <v>215</v>
      </c>
      <c r="R119" s="8">
        <v>0.499</v>
      </c>
      <c r="S119" s="46" t="s">
        <v>256</v>
      </c>
      <c r="T119" s="46" t="s">
        <v>256</v>
      </c>
      <c r="U119" s="46" t="s">
        <v>256</v>
      </c>
      <c r="V119" s="46" t="s">
        <v>256</v>
      </c>
      <c r="W119" s="24" t="s">
        <v>215</v>
      </c>
      <c r="X119" s="127" t="s">
        <v>600</v>
      </c>
      <c r="Y119" s="13">
        <v>4</v>
      </c>
      <c r="Z119" s="2">
        <v>0</v>
      </c>
      <c r="AA119" s="2">
        <v>0</v>
      </c>
      <c r="AB119" s="2">
        <v>0</v>
      </c>
      <c r="AC119" s="2">
        <v>81</v>
      </c>
      <c r="AD119" s="40">
        <v>125</v>
      </c>
    </row>
    <row r="120" spans="1:30" ht="14.5" customHeight="1">
      <c r="A120" s="14" t="s">
        <v>215</v>
      </c>
      <c r="B120" s="2" t="s">
        <v>158</v>
      </c>
      <c r="C120" s="7" t="s">
        <v>215</v>
      </c>
      <c r="D120" s="50" t="s">
        <v>215</v>
      </c>
      <c r="E120" s="50" t="s">
        <v>215</v>
      </c>
      <c r="F120" s="50" t="s">
        <v>215</v>
      </c>
      <c r="G120" s="3" t="s">
        <v>153</v>
      </c>
      <c r="H120" s="3" t="s">
        <v>154</v>
      </c>
      <c r="I120" s="3" t="s">
        <v>248</v>
      </c>
      <c r="J120" s="3" t="s">
        <v>253</v>
      </c>
      <c r="K120" s="75" t="s">
        <v>264</v>
      </c>
      <c r="L120" s="77" t="s">
        <v>215</v>
      </c>
      <c r="M120" s="77" t="s">
        <v>215</v>
      </c>
      <c r="N120" s="135" t="s">
        <v>254</v>
      </c>
      <c r="O120" s="13" t="s">
        <v>255</v>
      </c>
      <c r="P120" s="46">
        <v>70153</v>
      </c>
      <c r="Q120" s="2" t="s">
        <v>215</v>
      </c>
      <c r="R120" s="8">
        <v>0.48399999999999999</v>
      </c>
      <c r="S120" s="46" t="s">
        <v>256</v>
      </c>
      <c r="T120" s="46" t="s">
        <v>256</v>
      </c>
      <c r="U120" s="46" t="s">
        <v>256</v>
      </c>
      <c r="V120" s="46" t="s">
        <v>256</v>
      </c>
      <c r="W120" s="25"/>
      <c r="X120" s="26" t="s">
        <v>265</v>
      </c>
      <c r="Y120" s="13">
        <v>7</v>
      </c>
      <c r="Z120" s="2">
        <v>5</v>
      </c>
      <c r="AA120" s="2">
        <v>0</v>
      </c>
      <c r="AB120" s="2">
        <v>0</v>
      </c>
      <c r="AC120" s="2">
        <v>85</v>
      </c>
      <c r="AD120" s="40">
        <v>144</v>
      </c>
    </row>
    <row r="121" spans="1:30" ht="14.5" customHeight="1">
      <c r="A121" s="14" t="s">
        <v>215</v>
      </c>
      <c r="B121" s="2" t="s">
        <v>1</v>
      </c>
      <c r="C121" s="7" t="s">
        <v>215</v>
      </c>
      <c r="D121" s="50" t="s">
        <v>215</v>
      </c>
      <c r="E121" s="50" t="s">
        <v>215</v>
      </c>
      <c r="F121" s="50" t="s">
        <v>215</v>
      </c>
      <c r="G121" s="3"/>
      <c r="H121" s="3"/>
      <c r="I121" s="3" t="s">
        <v>643</v>
      </c>
      <c r="J121" s="3" t="s">
        <v>644</v>
      </c>
      <c r="K121" s="75" t="s">
        <v>645</v>
      </c>
      <c r="L121" s="77" t="s">
        <v>215</v>
      </c>
      <c r="M121" s="77" t="s">
        <v>215</v>
      </c>
      <c r="N121" s="135" t="s">
        <v>646</v>
      </c>
      <c r="O121" s="13" t="s">
        <v>1093</v>
      </c>
      <c r="P121" s="46">
        <v>48502</v>
      </c>
      <c r="Q121" s="2" t="s">
        <v>215</v>
      </c>
      <c r="R121" s="8">
        <v>0.502</v>
      </c>
      <c r="S121" s="46" t="s">
        <v>256</v>
      </c>
      <c r="T121" s="46" t="s">
        <v>256</v>
      </c>
      <c r="U121" s="46" t="s">
        <v>256</v>
      </c>
      <c r="V121" s="46" t="s">
        <v>256</v>
      </c>
      <c r="W121" s="25" t="s">
        <v>266</v>
      </c>
      <c r="X121" s="26" t="s">
        <v>396</v>
      </c>
      <c r="Y121" s="13">
        <v>5</v>
      </c>
      <c r="Z121" s="2">
        <v>1</v>
      </c>
      <c r="AA121" s="2">
        <v>10</v>
      </c>
      <c r="AB121" s="2">
        <v>42</v>
      </c>
      <c r="AC121" s="2">
        <v>83</v>
      </c>
      <c r="AD121" s="40">
        <v>49</v>
      </c>
    </row>
    <row r="122" spans="1:30" ht="14.5" customHeight="1">
      <c r="A122" s="14" t="s">
        <v>215</v>
      </c>
      <c r="B122" s="2" t="s">
        <v>1</v>
      </c>
      <c r="C122" s="7" t="s">
        <v>215</v>
      </c>
      <c r="D122" s="50" t="s">
        <v>215</v>
      </c>
      <c r="E122" s="50" t="s">
        <v>215</v>
      </c>
      <c r="F122" s="50" t="s">
        <v>215</v>
      </c>
      <c r="G122" s="3"/>
      <c r="H122" s="3"/>
      <c r="I122" s="3" t="s">
        <v>643</v>
      </c>
      <c r="J122" s="3" t="s">
        <v>644</v>
      </c>
      <c r="K122" s="75" t="s">
        <v>1085</v>
      </c>
      <c r="L122" s="77" t="s">
        <v>215</v>
      </c>
      <c r="M122" s="77" t="s">
        <v>215</v>
      </c>
      <c r="N122" s="135" t="s">
        <v>1088</v>
      </c>
      <c r="O122" s="13" t="s">
        <v>647</v>
      </c>
      <c r="P122" s="46">
        <v>48502</v>
      </c>
      <c r="Q122" s="2" t="s">
        <v>215</v>
      </c>
      <c r="R122" s="8">
        <v>0.502</v>
      </c>
      <c r="S122" s="46" t="s">
        <v>256</v>
      </c>
      <c r="T122" s="46" t="s">
        <v>256</v>
      </c>
      <c r="U122" s="46" t="s">
        <v>256</v>
      </c>
      <c r="V122" s="46" t="s">
        <v>256</v>
      </c>
      <c r="W122" s="25" t="s">
        <v>266</v>
      </c>
      <c r="X122" s="26" t="s">
        <v>396</v>
      </c>
      <c r="Y122" s="13">
        <v>5</v>
      </c>
      <c r="Z122" s="2">
        <v>1</v>
      </c>
      <c r="AA122" s="2">
        <v>10</v>
      </c>
      <c r="AB122" s="2">
        <v>42</v>
      </c>
      <c r="AC122" s="2">
        <v>83</v>
      </c>
      <c r="AD122" s="40">
        <v>49</v>
      </c>
    </row>
    <row r="123" spans="1:30" ht="14.5" customHeight="1">
      <c r="A123" s="14" t="s">
        <v>215</v>
      </c>
      <c r="B123" s="2" t="s">
        <v>1</v>
      </c>
      <c r="C123" s="7" t="s">
        <v>215</v>
      </c>
      <c r="D123" s="50" t="s">
        <v>215</v>
      </c>
      <c r="E123" s="50" t="s">
        <v>215</v>
      </c>
      <c r="F123" s="50" t="s">
        <v>215</v>
      </c>
      <c r="G123" s="3"/>
      <c r="H123" s="3"/>
      <c r="I123" s="3" t="s">
        <v>643</v>
      </c>
      <c r="J123" s="3" t="s">
        <v>644</v>
      </c>
      <c r="K123" s="75" t="s">
        <v>1086</v>
      </c>
      <c r="L123" s="77" t="s">
        <v>215</v>
      </c>
      <c r="M123" s="77" t="s">
        <v>215</v>
      </c>
      <c r="N123" s="142" t="s">
        <v>1087</v>
      </c>
      <c r="O123" s="13" t="s">
        <v>1094</v>
      </c>
      <c r="P123" s="46">
        <v>48502</v>
      </c>
      <c r="Q123" s="2" t="s">
        <v>215</v>
      </c>
      <c r="R123" s="8">
        <v>0.502</v>
      </c>
      <c r="S123" s="46" t="s">
        <v>256</v>
      </c>
      <c r="T123" s="46" t="s">
        <v>256</v>
      </c>
      <c r="U123" s="46" t="s">
        <v>256</v>
      </c>
      <c r="V123" s="46" t="s">
        <v>256</v>
      </c>
      <c r="W123" s="25" t="s">
        <v>266</v>
      </c>
      <c r="X123" s="26" t="s">
        <v>396</v>
      </c>
      <c r="Y123" s="13">
        <v>5</v>
      </c>
      <c r="Z123" s="2">
        <v>1</v>
      </c>
      <c r="AA123" s="2">
        <v>10</v>
      </c>
      <c r="AB123" s="2">
        <v>42</v>
      </c>
      <c r="AC123" s="2">
        <v>83</v>
      </c>
      <c r="AD123" s="40">
        <v>49</v>
      </c>
    </row>
    <row r="124" spans="1:30" ht="14.5" customHeight="1">
      <c r="A124" s="14" t="s">
        <v>215</v>
      </c>
      <c r="B124" s="2" t="s">
        <v>157</v>
      </c>
      <c r="C124" s="7" t="s">
        <v>215</v>
      </c>
      <c r="D124" s="50" t="s">
        <v>215</v>
      </c>
      <c r="E124" s="50" t="s">
        <v>215</v>
      </c>
      <c r="F124" s="50" t="s">
        <v>215</v>
      </c>
      <c r="G124" s="3"/>
      <c r="H124" s="3"/>
      <c r="I124" s="3" t="s">
        <v>648</v>
      </c>
      <c r="J124" s="3" t="s">
        <v>649</v>
      </c>
      <c r="K124" s="75" t="s">
        <v>650</v>
      </c>
      <c r="L124" s="77" t="s">
        <v>215</v>
      </c>
      <c r="M124" s="77" t="s">
        <v>215</v>
      </c>
      <c r="N124" s="135" t="s">
        <v>646</v>
      </c>
      <c r="O124" s="13" t="s">
        <v>651</v>
      </c>
      <c r="P124" s="46">
        <v>94800</v>
      </c>
      <c r="Q124" s="2" t="s">
        <v>215</v>
      </c>
      <c r="R124" s="8">
        <v>0.39300000000000002</v>
      </c>
      <c r="S124" s="46" t="s">
        <v>256</v>
      </c>
      <c r="T124" s="46" t="s">
        <v>256</v>
      </c>
      <c r="U124" s="46" t="s">
        <v>256</v>
      </c>
      <c r="V124" s="46" t="s">
        <v>256</v>
      </c>
      <c r="W124" s="24" t="s">
        <v>266</v>
      </c>
      <c r="X124" s="26" t="s">
        <v>600</v>
      </c>
      <c r="Y124" s="13">
        <v>11</v>
      </c>
      <c r="Z124" s="2">
        <v>2</v>
      </c>
      <c r="AA124" s="2">
        <v>56</v>
      </c>
      <c r="AB124" s="2">
        <v>62</v>
      </c>
      <c r="AC124" s="2">
        <v>153</v>
      </c>
      <c r="AD124" s="40">
        <v>99</v>
      </c>
    </row>
    <row r="125" spans="1:30" ht="14.5" customHeight="1" thickBot="1">
      <c r="A125" s="15" t="s">
        <v>215</v>
      </c>
      <c r="B125" s="16" t="s">
        <v>157</v>
      </c>
      <c r="C125" s="17" t="s">
        <v>215</v>
      </c>
      <c r="D125" s="65" t="s">
        <v>215</v>
      </c>
      <c r="E125" s="65" t="s">
        <v>215</v>
      </c>
      <c r="F125" s="65" t="s">
        <v>215</v>
      </c>
      <c r="G125" s="18" t="s">
        <v>705</v>
      </c>
      <c r="H125" s="18"/>
      <c r="I125" s="18" t="s">
        <v>652</v>
      </c>
      <c r="J125" s="18" t="s">
        <v>653</v>
      </c>
      <c r="K125" s="78" t="s">
        <v>654</v>
      </c>
      <c r="L125" s="66" t="s">
        <v>215</v>
      </c>
      <c r="M125" s="66" t="s">
        <v>215</v>
      </c>
      <c r="N125" s="136" t="s">
        <v>655</v>
      </c>
      <c r="O125" s="21" t="s">
        <v>656</v>
      </c>
      <c r="P125" s="67">
        <v>33593</v>
      </c>
      <c r="Q125" s="16" t="s">
        <v>215</v>
      </c>
      <c r="R125" s="20">
        <v>0.41299999999999998</v>
      </c>
      <c r="S125" s="67" t="s">
        <v>256</v>
      </c>
      <c r="T125" s="67" t="s">
        <v>256</v>
      </c>
      <c r="U125" s="67" t="s">
        <v>256</v>
      </c>
      <c r="V125" s="67" t="s">
        <v>256</v>
      </c>
      <c r="W125" s="79" t="s">
        <v>266</v>
      </c>
      <c r="X125" s="27" t="s">
        <v>600</v>
      </c>
      <c r="Y125" s="21">
        <v>1</v>
      </c>
      <c r="Z125" s="16">
        <v>6</v>
      </c>
      <c r="AA125" s="16">
        <v>6</v>
      </c>
      <c r="AB125" s="16">
        <v>28</v>
      </c>
      <c r="AC125" s="16">
        <v>63</v>
      </c>
      <c r="AD125" s="45">
        <v>57</v>
      </c>
    </row>
  </sheetData>
  <sortState xmlns:xlrd2="http://schemas.microsoft.com/office/spreadsheetml/2017/richdata2" ref="A77:AD113">
    <sortCondition ref="A77:A113"/>
  </sortState>
  <mergeCells count="5">
    <mergeCell ref="A6:K6"/>
    <mergeCell ref="L6:N6"/>
    <mergeCell ref="O6:V6"/>
    <mergeCell ref="Y6:AD6"/>
    <mergeCell ref="W6:X6"/>
  </mergeCells>
  <phoneticPr fontId="5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1BA6-F0BC-49D4-8F34-E7346D11F9D9}">
  <dimension ref="A1:K141"/>
  <sheetViews>
    <sheetView topLeftCell="A102" workbookViewId="0">
      <selection activeCell="E126" sqref="E126"/>
    </sheetView>
  </sheetViews>
  <sheetFormatPr defaultRowHeight="14.4"/>
  <cols>
    <col min="1" max="1" width="7.26171875" bestFit="1" customWidth="1"/>
    <col min="2" max="2" width="19.578125" bestFit="1" customWidth="1"/>
    <col min="3" max="3" width="22.26171875" bestFit="1" customWidth="1"/>
    <col min="4" max="4" width="12" bestFit="1" customWidth="1"/>
    <col min="5" max="5" width="11.83984375" bestFit="1" customWidth="1"/>
    <col min="6" max="6" width="11.26171875" bestFit="1" customWidth="1"/>
    <col min="7" max="8" width="12.15625" bestFit="1" customWidth="1"/>
    <col min="9" max="9" width="22.26171875" bestFit="1" customWidth="1"/>
    <col min="10" max="10" width="12" bestFit="1" customWidth="1"/>
    <col min="11" max="11" width="24.15625" bestFit="1" customWidth="1"/>
  </cols>
  <sheetData>
    <row r="1" spans="1:11" ht="14.7" thickBot="1">
      <c r="A1" s="137" t="s">
        <v>706</v>
      </c>
      <c r="B1" s="137" t="s">
        <v>9</v>
      </c>
      <c r="C1" s="138" t="s">
        <v>707</v>
      </c>
      <c r="D1" s="138" t="s">
        <v>708</v>
      </c>
      <c r="E1" s="138" t="s">
        <v>709</v>
      </c>
      <c r="F1" s="138" t="s">
        <v>710</v>
      </c>
      <c r="G1" s="138" t="s">
        <v>711</v>
      </c>
      <c r="H1" s="138" t="s">
        <v>712</v>
      </c>
      <c r="I1" s="138" t="s">
        <v>713</v>
      </c>
      <c r="J1" s="138" t="s">
        <v>714</v>
      </c>
      <c r="K1" s="138" t="s">
        <v>715</v>
      </c>
    </row>
    <row r="2" spans="1:11">
      <c r="A2" t="s">
        <v>716</v>
      </c>
      <c r="B2" t="s">
        <v>218</v>
      </c>
      <c r="C2" t="s">
        <v>717</v>
      </c>
      <c r="D2" t="s">
        <v>718</v>
      </c>
      <c r="E2" t="s">
        <v>719</v>
      </c>
      <c r="F2" t="s">
        <v>720</v>
      </c>
      <c r="G2" t="s">
        <v>721</v>
      </c>
      <c r="H2" t="s">
        <v>721</v>
      </c>
      <c r="I2" t="s">
        <v>721</v>
      </c>
      <c r="J2">
        <v>1</v>
      </c>
      <c r="K2" t="s">
        <v>719</v>
      </c>
    </row>
    <row r="3" spans="1:11">
      <c r="A3" s="139" t="s">
        <v>716</v>
      </c>
      <c r="B3" s="139" t="s">
        <v>218</v>
      </c>
      <c r="C3" s="139" t="s">
        <v>722</v>
      </c>
      <c r="D3" s="139" t="s">
        <v>723</v>
      </c>
      <c r="E3" s="139" t="s">
        <v>724</v>
      </c>
      <c r="F3" s="139" t="s">
        <v>720</v>
      </c>
      <c r="G3" s="139" t="s">
        <v>725</v>
      </c>
      <c r="H3" s="139" t="s">
        <v>725</v>
      </c>
      <c r="I3" s="139" t="s">
        <v>725</v>
      </c>
      <c r="J3" s="139">
        <v>1</v>
      </c>
      <c r="K3" s="139" t="s">
        <v>724</v>
      </c>
    </row>
    <row r="4" spans="1:11">
      <c r="A4" t="s">
        <v>726</v>
      </c>
      <c r="B4" t="s">
        <v>218</v>
      </c>
      <c r="C4" t="s">
        <v>727</v>
      </c>
      <c r="D4" t="s">
        <v>718</v>
      </c>
      <c r="E4" t="s">
        <v>719</v>
      </c>
      <c r="F4" t="s">
        <v>720</v>
      </c>
      <c r="G4" t="s">
        <v>728</v>
      </c>
      <c r="H4" t="s">
        <v>728</v>
      </c>
      <c r="I4" t="s">
        <v>728</v>
      </c>
      <c r="J4">
        <v>1</v>
      </c>
      <c r="K4" t="s">
        <v>719</v>
      </c>
    </row>
    <row r="5" spans="1:11">
      <c r="A5" s="139" t="s">
        <v>726</v>
      </c>
      <c r="B5" s="139" t="s">
        <v>218</v>
      </c>
      <c r="C5" s="139" t="s">
        <v>729</v>
      </c>
      <c r="D5" s="139" t="s">
        <v>723</v>
      </c>
      <c r="E5" s="139" t="s">
        <v>724</v>
      </c>
      <c r="F5" s="139" t="s">
        <v>720</v>
      </c>
      <c r="G5" s="139" t="s">
        <v>730</v>
      </c>
      <c r="H5" s="139" t="s">
        <v>730</v>
      </c>
      <c r="I5" s="139" t="s">
        <v>730</v>
      </c>
      <c r="J5" s="139">
        <v>1</v>
      </c>
      <c r="K5" s="139" t="s">
        <v>724</v>
      </c>
    </row>
    <row r="6" spans="1:11">
      <c r="A6" t="s">
        <v>731</v>
      </c>
      <c r="B6" t="s">
        <v>218</v>
      </c>
      <c r="C6" t="s">
        <v>732</v>
      </c>
      <c r="D6" t="s">
        <v>718</v>
      </c>
      <c r="E6" t="s">
        <v>719</v>
      </c>
      <c r="F6" t="s">
        <v>720</v>
      </c>
      <c r="G6" t="s">
        <v>733</v>
      </c>
      <c r="H6" t="s">
        <v>733</v>
      </c>
      <c r="I6" t="s">
        <v>733</v>
      </c>
      <c r="J6">
        <v>1</v>
      </c>
      <c r="K6" t="s">
        <v>719</v>
      </c>
    </row>
    <row r="7" spans="1:11">
      <c r="A7" s="139" t="s">
        <v>731</v>
      </c>
      <c r="B7" s="139" t="s">
        <v>218</v>
      </c>
      <c r="C7" s="139" t="s">
        <v>734</v>
      </c>
      <c r="D7" s="139" t="s">
        <v>723</v>
      </c>
      <c r="E7" s="139" t="s">
        <v>724</v>
      </c>
      <c r="F7" s="139" t="s">
        <v>720</v>
      </c>
      <c r="G7" s="139" t="s">
        <v>735</v>
      </c>
      <c r="H7" s="139" t="s">
        <v>735</v>
      </c>
      <c r="I7" s="139" t="s">
        <v>735</v>
      </c>
      <c r="J7" s="139">
        <v>1</v>
      </c>
      <c r="K7" s="139" t="s">
        <v>724</v>
      </c>
    </row>
    <row r="8" spans="1:11">
      <c r="A8" t="s">
        <v>736</v>
      </c>
      <c r="B8" t="s">
        <v>460</v>
      </c>
      <c r="C8" t="s">
        <v>737</v>
      </c>
      <c r="D8" t="s">
        <v>738</v>
      </c>
      <c r="E8" t="s">
        <v>739</v>
      </c>
      <c r="F8" t="s">
        <v>720</v>
      </c>
      <c r="G8" t="s">
        <v>740</v>
      </c>
      <c r="H8" t="s">
        <v>740</v>
      </c>
      <c r="I8" t="s">
        <v>740</v>
      </c>
      <c r="J8">
        <v>1</v>
      </c>
      <c r="K8" t="s">
        <v>739</v>
      </c>
    </row>
    <row r="9" spans="1:11">
      <c r="A9" t="s">
        <v>736</v>
      </c>
      <c r="B9" t="s">
        <v>460</v>
      </c>
      <c r="C9" t="s">
        <v>741</v>
      </c>
      <c r="D9" t="s">
        <v>738</v>
      </c>
      <c r="E9" t="s">
        <v>742</v>
      </c>
      <c r="F9" t="s">
        <v>720</v>
      </c>
      <c r="G9" t="s">
        <v>743</v>
      </c>
      <c r="H9" t="s">
        <v>743</v>
      </c>
      <c r="I9" t="s">
        <v>743</v>
      </c>
      <c r="J9">
        <v>1</v>
      </c>
      <c r="K9" t="s">
        <v>742</v>
      </c>
    </row>
    <row r="10" spans="1:11">
      <c r="A10" t="s">
        <v>736</v>
      </c>
      <c r="B10" t="s">
        <v>460</v>
      </c>
      <c r="C10" t="s">
        <v>744</v>
      </c>
      <c r="D10" t="s">
        <v>745</v>
      </c>
      <c r="E10" t="s">
        <v>746</v>
      </c>
      <c r="F10" t="s">
        <v>720</v>
      </c>
      <c r="G10" t="s">
        <v>747</v>
      </c>
      <c r="H10" t="s">
        <v>747</v>
      </c>
      <c r="I10" t="s">
        <v>747</v>
      </c>
      <c r="J10">
        <v>1</v>
      </c>
      <c r="K10" t="s">
        <v>746</v>
      </c>
    </row>
    <row r="11" spans="1:11">
      <c r="A11" t="s">
        <v>736</v>
      </c>
      <c r="B11" t="s">
        <v>460</v>
      </c>
      <c r="C11" t="s">
        <v>748</v>
      </c>
      <c r="D11" t="s">
        <v>749</v>
      </c>
      <c r="E11" t="s">
        <v>750</v>
      </c>
      <c r="F11" t="s">
        <v>720</v>
      </c>
      <c r="G11" t="s">
        <v>751</v>
      </c>
      <c r="H11" t="s">
        <v>752</v>
      </c>
      <c r="I11" t="s">
        <v>753</v>
      </c>
      <c r="J11">
        <v>2</v>
      </c>
      <c r="K11" t="s">
        <v>754</v>
      </c>
    </row>
    <row r="12" spans="1:11">
      <c r="A12" t="s">
        <v>736</v>
      </c>
      <c r="B12" t="s">
        <v>460</v>
      </c>
      <c r="C12" t="s">
        <v>755</v>
      </c>
      <c r="D12" t="s">
        <v>756</v>
      </c>
      <c r="E12" t="s">
        <v>757</v>
      </c>
      <c r="F12" t="s">
        <v>720</v>
      </c>
      <c r="G12" t="s">
        <v>758</v>
      </c>
      <c r="H12" t="s">
        <v>758</v>
      </c>
      <c r="I12" t="s">
        <v>758</v>
      </c>
      <c r="J12">
        <v>1</v>
      </c>
      <c r="K12" t="s">
        <v>757</v>
      </c>
    </row>
    <row r="13" spans="1:11">
      <c r="A13" t="s">
        <v>736</v>
      </c>
      <c r="B13" t="s">
        <v>460</v>
      </c>
      <c r="C13" t="s">
        <v>759</v>
      </c>
      <c r="D13" t="s">
        <v>749</v>
      </c>
      <c r="E13" t="s">
        <v>760</v>
      </c>
      <c r="F13" t="s">
        <v>720</v>
      </c>
      <c r="G13" t="s">
        <v>761</v>
      </c>
      <c r="H13" t="s">
        <v>761</v>
      </c>
      <c r="I13" t="s">
        <v>761</v>
      </c>
      <c r="J13">
        <v>1</v>
      </c>
      <c r="K13" t="s">
        <v>760</v>
      </c>
    </row>
    <row r="14" spans="1:11">
      <c r="A14" t="s">
        <v>736</v>
      </c>
      <c r="B14" t="s">
        <v>460</v>
      </c>
      <c r="C14" t="s">
        <v>762</v>
      </c>
      <c r="D14" t="s">
        <v>756</v>
      </c>
      <c r="E14" t="s">
        <v>763</v>
      </c>
      <c r="F14" t="s">
        <v>720</v>
      </c>
      <c r="G14" t="s">
        <v>764</v>
      </c>
      <c r="H14" t="s">
        <v>764</v>
      </c>
      <c r="I14" t="s">
        <v>764</v>
      </c>
      <c r="J14">
        <v>1</v>
      </c>
      <c r="K14" t="s">
        <v>763</v>
      </c>
    </row>
    <row r="15" spans="1:11">
      <c r="A15" s="139" t="s">
        <v>736</v>
      </c>
      <c r="B15" s="139" t="s">
        <v>460</v>
      </c>
      <c r="C15" s="139" t="s">
        <v>765</v>
      </c>
      <c r="D15" s="139" t="s">
        <v>749</v>
      </c>
      <c r="E15" s="139" t="s">
        <v>766</v>
      </c>
      <c r="F15" s="139" t="s">
        <v>720</v>
      </c>
      <c r="G15" s="139" t="s">
        <v>767</v>
      </c>
      <c r="H15" s="139" t="s">
        <v>767</v>
      </c>
      <c r="I15" s="139" t="s">
        <v>767</v>
      </c>
      <c r="J15" s="139">
        <v>1</v>
      </c>
      <c r="K15" s="139" t="s">
        <v>766</v>
      </c>
    </row>
    <row r="16" spans="1:11">
      <c r="A16" t="s">
        <v>768</v>
      </c>
      <c r="B16" t="s">
        <v>460</v>
      </c>
      <c r="C16" t="s">
        <v>769</v>
      </c>
      <c r="D16" t="s">
        <v>738</v>
      </c>
      <c r="E16" t="s">
        <v>739</v>
      </c>
      <c r="F16" t="s">
        <v>720</v>
      </c>
      <c r="G16" t="s">
        <v>770</v>
      </c>
      <c r="H16" t="s">
        <v>770</v>
      </c>
      <c r="I16" t="s">
        <v>770</v>
      </c>
      <c r="J16">
        <v>1</v>
      </c>
      <c r="K16" t="s">
        <v>739</v>
      </c>
    </row>
    <row r="17" spans="1:11">
      <c r="A17" t="s">
        <v>768</v>
      </c>
      <c r="B17" t="s">
        <v>460</v>
      </c>
      <c r="C17" t="s">
        <v>771</v>
      </c>
      <c r="D17" t="s">
        <v>738</v>
      </c>
      <c r="E17" t="s">
        <v>742</v>
      </c>
      <c r="F17" t="s">
        <v>720</v>
      </c>
      <c r="G17" t="s">
        <v>772</v>
      </c>
      <c r="H17" t="s">
        <v>772</v>
      </c>
      <c r="I17" t="s">
        <v>772</v>
      </c>
      <c r="J17">
        <v>1</v>
      </c>
      <c r="K17" t="s">
        <v>742</v>
      </c>
    </row>
    <row r="18" spans="1:11">
      <c r="A18" t="s">
        <v>768</v>
      </c>
      <c r="B18" t="s">
        <v>460</v>
      </c>
      <c r="C18" t="s">
        <v>773</v>
      </c>
      <c r="D18" t="s">
        <v>745</v>
      </c>
      <c r="E18" t="s">
        <v>746</v>
      </c>
      <c r="F18" t="s">
        <v>720</v>
      </c>
      <c r="G18" t="s">
        <v>774</v>
      </c>
      <c r="H18" t="s">
        <v>774</v>
      </c>
      <c r="I18" t="s">
        <v>774</v>
      </c>
      <c r="J18">
        <v>1</v>
      </c>
      <c r="K18" t="s">
        <v>746</v>
      </c>
    </row>
    <row r="19" spans="1:11">
      <c r="A19" t="s">
        <v>768</v>
      </c>
      <c r="B19" t="s">
        <v>460</v>
      </c>
      <c r="C19" t="s">
        <v>775</v>
      </c>
      <c r="D19" t="s">
        <v>749</v>
      </c>
      <c r="E19" t="s">
        <v>750</v>
      </c>
      <c r="F19" t="s">
        <v>720</v>
      </c>
      <c r="G19" t="s">
        <v>776</v>
      </c>
      <c r="H19" t="s">
        <v>777</v>
      </c>
      <c r="I19" t="s">
        <v>778</v>
      </c>
      <c r="J19">
        <v>2</v>
      </c>
      <c r="K19" t="s">
        <v>754</v>
      </c>
    </row>
    <row r="20" spans="1:11">
      <c r="A20" t="s">
        <v>768</v>
      </c>
      <c r="B20" t="s">
        <v>460</v>
      </c>
      <c r="C20" t="s">
        <v>779</v>
      </c>
      <c r="D20" t="s">
        <v>756</v>
      </c>
      <c r="E20" t="s">
        <v>757</v>
      </c>
      <c r="F20" t="s">
        <v>720</v>
      </c>
      <c r="G20" t="s">
        <v>780</v>
      </c>
      <c r="H20" t="s">
        <v>780</v>
      </c>
      <c r="I20" t="s">
        <v>780</v>
      </c>
      <c r="J20">
        <v>1</v>
      </c>
      <c r="K20" t="s">
        <v>757</v>
      </c>
    </row>
    <row r="21" spans="1:11">
      <c r="A21" t="s">
        <v>768</v>
      </c>
      <c r="B21" t="s">
        <v>460</v>
      </c>
      <c r="C21" t="s">
        <v>781</v>
      </c>
      <c r="D21" t="s">
        <v>749</v>
      </c>
      <c r="E21" t="s">
        <v>760</v>
      </c>
      <c r="F21" t="s">
        <v>720</v>
      </c>
      <c r="G21" t="s">
        <v>782</v>
      </c>
      <c r="H21" t="s">
        <v>782</v>
      </c>
      <c r="I21" t="s">
        <v>782</v>
      </c>
      <c r="J21">
        <v>1</v>
      </c>
      <c r="K21" t="s">
        <v>760</v>
      </c>
    </row>
    <row r="22" spans="1:11">
      <c r="A22" t="s">
        <v>768</v>
      </c>
      <c r="B22" t="s">
        <v>460</v>
      </c>
      <c r="C22" t="s">
        <v>783</v>
      </c>
      <c r="D22" t="s">
        <v>756</v>
      </c>
      <c r="E22" t="s">
        <v>763</v>
      </c>
      <c r="F22" t="s">
        <v>720</v>
      </c>
      <c r="G22" t="s">
        <v>784</v>
      </c>
      <c r="H22" t="s">
        <v>784</v>
      </c>
      <c r="I22" t="s">
        <v>784</v>
      </c>
      <c r="J22">
        <v>1</v>
      </c>
      <c r="K22" t="s">
        <v>763</v>
      </c>
    </row>
    <row r="23" spans="1:11">
      <c r="A23" s="139" t="s">
        <v>768</v>
      </c>
      <c r="B23" s="139" t="s">
        <v>460</v>
      </c>
      <c r="C23" s="139" t="s">
        <v>785</v>
      </c>
      <c r="D23" s="139" t="s">
        <v>749</v>
      </c>
      <c r="E23" s="139" t="s">
        <v>766</v>
      </c>
      <c r="F23" s="139" t="s">
        <v>720</v>
      </c>
      <c r="G23" s="139" t="s">
        <v>786</v>
      </c>
      <c r="H23" s="139" t="s">
        <v>786</v>
      </c>
      <c r="I23" s="139" t="s">
        <v>786</v>
      </c>
      <c r="J23" s="139">
        <v>1</v>
      </c>
      <c r="K23" s="139" t="s">
        <v>766</v>
      </c>
    </row>
    <row r="24" spans="1:11">
      <c r="A24" t="s">
        <v>787</v>
      </c>
      <c r="B24" t="s">
        <v>460</v>
      </c>
      <c r="C24" t="s">
        <v>788</v>
      </c>
      <c r="D24" t="s">
        <v>738</v>
      </c>
      <c r="E24" t="s">
        <v>739</v>
      </c>
      <c r="F24" t="s">
        <v>720</v>
      </c>
      <c r="G24" t="s">
        <v>789</v>
      </c>
      <c r="H24" t="s">
        <v>789</v>
      </c>
      <c r="I24" t="s">
        <v>789</v>
      </c>
      <c r="J24">
        <v>1</v>
      </c>
      <c r="K24" t="s">
        <v>739</v>
      </c>
    </row>
    <row r="25" spans="1:11">
      <c r="A25" t="s">
        <v>787</v>
      </c>
      <c r="B25" t="s">
        <v>460</v>
      </c>
      <c r="C25" t="s">
        <v>790</v>
      </c>
      <c r="D25" t="s">
        <v>738</v>
      </c>
      <c r="E25" t="s">
        <v>742</v>
      </c>
      <c r="F25" t="s">
        <v>720</v>
      </c>
      <c r="G25" t="s">
        <v>791</v>
      </c>
      <c r="H25" t="s">
        <v>791</v>
      </c>
      <c r="I25" t="s">
        <v>791</v>
      </c>
      <c r="J25">
        <v>1</v>
      </c>
      <c r="K25" t="s">
        <v>742</v>
      </c>
    </row>
    <row r="26" spans="1:11">
      <c r="A26" t="s">
        <v>787</v>
      </c>
      <c r="B26" t="s">
        <v>460</v>
      </c>
      <c r="C26" t="s">
        <v>792</v>
      </c>
      <c r="D26" t="s">
        <v>749</v>
      </c>
      <c r="E26" t="s">
        <v>750</v>
      </c>
      <c r="F26" t="s">
        <v>720</v>
      </c>
      <c r="G26" t="s">
        <v>793</v>
      </c>
      <c r="H26" t="s">
        <v>794</v>
      </c>
      <c r="I26" t="s">
        <v>795</v>
      </c>
      <c r="J26">
        <v>2</v>
      </c>
      <c r="K26" t="s">
        <v>754</v>
      </c>
    </row>
    <row r="27" spans="1:11">
      <c r="A27" t="s">
        <v>787</v>
      </c>
      <c r="B27" t="s">
        <v>460</v>
      </c>
      <c r="C27" t="s">
        <v>796</v>
      </c>
      <c r="D27" t="s">
        <v>756</v>
      </c>
      <c r="E27" t="s">
        <v>757</v>
      </c>
      <c r="F27" t="s">
        <v>720</v>
      </c>
      <c r="G27" t="s">
        <v>797</v>
      </c>
      <c r="H27" t="s">
        <v>797</v>
      </c>
      <c r="I27" t="s">
        <v>797</v>
      </c>
      <c r="J27">
        <v>1</v>
      </c>
      <c r="K27" t="s">
        <v>757</v>
      </c>
    </row>
    <row r="28" spans="1:11">
      <c r="A28" t="s">
        <v>787</v>
      </c>
      <c r="B28" t="s">
        <v>460</v>
      </c>
      <c r="C28" t="s">
        <v>798</v>
      </c>
      <c r="D28" t="s">
        <v>756</v>
      </c>
      <c r="E28" t="s">
        <v>799</v>
      </c>
      <c r="F28" t="s">
        <v>720</v>
      </c>
      <c r="G28" t="s">
        <v>800</v>
      </c>
      <c r="H28" t="s">
        <v>800</v>
      </c>
      <c r="I28" t="s">
        <v>800</v>
      </c>
      <c r="J28">
        <v>1</v>
      </c>
      <c r="K28" t="s">
        <v>799</v>
      </c>
    </row>
    <row r="29" spans="1:11">
      <c r="A29" t="s">
        <v>787</v>
      </c>
      <c r="B29" t="s">
        <v>460</v>
      </c>
      <c r="C29" t="s">
        <v>801</v>
      </c>
      <c r="D29" t="s">
        <v>749</v>
      </c>
      <c r="E29" t="s">
        <v>760</v>
      </c>
      <c r="F29" t="s">
        <v>720</v>
      </c>
      <c r="G29" t="s">
        <v>802</v>
      </c>
      <c r="H29" t="s">
        <v>802</v>
      </c>
      <c r="I29" t="s">
        <v>802</v>
      </c>
      <c r="J29">
        <v>1</v>
      </c>
      <c r="K29" t="s">
        <v>760</v>
      </c>
    </row>
    <row r="30" spans="1:11">
      <c r="A30" t="s">
        <v>787</v>
      </c>
      <c r="B30" t="s">
        <v>460</v>
      </c>
      <c r="C30" t="s">
        <v>803</v>
      </c>
      <c r="D30" t="s">
        <v>756</v>
      </c>
      <c r="E30" t="s">
        <v>763</v>
      </c>
      <c r="F30" t="s">
        <v>720</v>
      </c>
      <c r="G30" t="s">
        <v>804</v>
      </c>
      <c r="H30" t="s">
        <v>804</v>
      </c>
      <c r="I30" t="s">
        <v>804</v>
      </c>
      <c r="J30">
        <v>1</v>
      </c>
      <c r="K30" t="s">
        <v>763</v>
      </c>
    </row>
    <row r="31" spans="1:11">
      <c r="A31" s="139" t="s">
        <v>787</v>
      </c>
      <c r="B31" s="139" t="s">
        <v>460</v>
      </c>
      <c r="C31" s="139" t="s">
        <v>805</v>
      </c>
      <c r="D31" s="139" t="s">
        <v>749</v>
      </c>
      <c r="E31" s="139" t="s">
        <v>766</v>
      </c>
      <c r="F31" s="139" t="s">
        <v>720</v>
      </c>
      <c r="G31" s="139" t="s">
        <v>806</v>
      </c>
      <c r="H31" s="139" t="s">
        <v>806</v>
      </c>
      <c r="I31" s="139" t="s">
        <v>806</v>
      </c>
      <c r="J31" s="139">
        <v>1</v>
      </c>
      <c r="K31" s="139" t="s">
        <v>766</v>
      </c>
    </row>
    <row r="32" spans="1:11">
      <c r="A32" t="s">
        <v>807</v>
      </c>
      <c r="B32" t="s">
        <v>460</v>
      </c>
      <c r="C32" t="s">
        <v>808</v>
      </c>
      <c r="D32" t="s">
        <v>738</v>
      </c>
      <c r="E32" t="s">
        <v>739</v>
      </c>
      <c r="F32" t="s">
        <v>720</v>
      </c>
      <c r="G32" t="s">
        <v>809</v>
      </c>
      <c r="H32" t="s">
        <v>809</v>
      </c>
      <c r="I32" t="s">
        <v>809</v>
      </c>
      <c r="J32">
        <v>1</v>
      </c>
      <c r="K32" t="s">
        <v>739</v>
      </c>
    </row>
    <row r="33" spans="1:11">
      <c r="A33" t="s">
        <v>807</v>
      </c>
      <c r="B33" t="s">
        <v>460</v>
      </c>
      <c r="C33" t="s">
        <v>810</v>
      </c>
      <c r="D33" t="s">
        <v>738</v>
      </c>
      <c r="E33" t="s">
        <v>742</v>
      </c>
      <c r="F33" t="s">
        <v>720</v>
      </c>
      <c r="G33" t="s">
        <v>811</v>
      </c>
      <c r="H33" t="s">
        <v>811</v>
      </c>
      <c r="I33" t="s">
        <v>811</v>
      </c>
      <c r="J33">
        <v>1</v>
      </c>
      <c r="K33" t="s">
        <v>742</v>
      </c>
    </row>
    <row r="34" spans="1:11">
      <c r="A34" t="s">
        <v>807</v>
      </c>
      <c r="B34" t="s">
        <v>460</v>
      </c>
      <c r="C34" t="s">
        <v>812</v>
      </c>
      <c r="D34" t="s">
        <v>745</v>
      </c>
      <c r="E34" t="s">
        <v>746</v>
      </c>
      <c r="F34" t="s">
        <v>720</v>
      </c>
      <c r="G34" t="s">
        <v>813</v>
      </c>
      <c r="H34" t="s">
        <v>813</v>
      </c>
      <c r="I34" t="s">
        <v>813</v>
      </c>
      <c r="J34">
        <v>1</v>
      </c>
      <c r="K34" t="s">
        <v>746</v>
      </c>
    </row>
    <row r="35" spans="1:11">
      <c r="A35" t="s">
        <v>807</v>
      </c>
      <c r="B35" t="s">
        <v>460</v>
      </c>
      <c r="C35" t="s">
        <v>814</v>
      </c>
      <c r="D35" t="s">
        <v>749</v>
      </c>
      <c r="E35" t="s">
        <v>750</v>
      </c>
      <c r="F35" t="s">
        <v>720</v>
      </c>
      <c r="G35" t="s">
        <v>815</v>
      </c>
      <c r="H35" t="s">
        <v>816</v>
      </c>
      <c r="I35" t="s">
        <v>817</v>
      </c>
      <c r="J35">
        <v>2</v>
      </c>
      <c r="K35" t="s">
        <v>754</v>
      </c>
    </row>
    <row r="36" spans="1:11">
      <c r="A36" t="s">
        <v>807</v>
      </c>
      <c r="B36" t="s">
        <v>460</v>
      </c>
      <c r="C36" t="s">
        <v>818</v>
      </c>
      <c r="D36" t="s">
        <v>749</v>
      </c>
      <c r="E36" t="s">
        <v>760</v>
      </c>
      <c r="F36" t="s">
        <v>720</v>
      </c>
      <c r="G36" t="s">
        <v>819</v>
      </c>
      <c r="H36" t="s">
        <v>819</v>
      </c>
      <c r="I36" t="s">
        <v>819</v>
      </c>
      <c r="J36">
        <v>1</v>
      </c>
      <c r="K36" t="s">
        <v>760</v>
      </c>
    </row>
    <row r="37" spans="1:11">
      <c r="A37" t="s">
        <v>807</v>
      </c>
      <c r="B37" t="s">
        <v>460</v>
      </c>
      <c r="C37" t="s">
        <v>820</v>
      </c>
      <c r="D37" t="s">
        <v>756</v>
      </c>
      <c r="E37" t="s">
        <v>763</v>
      </c>
      <c r="F37" t="s">
        <v>720</v>
      </c>
      <c r="G37" t="s">
        <v>821</v>
      </c>
      <c r="H37" t="s">
        <v>821</v>
      </c>
      <c r="I37" t="s">
        <v>821</v>
      </c>
      <c r="J37">
        <v>1</v>
      </c>
      <c r="K37" t="s">
        <v>763</v>
      </c>
    </row>
    <row r="38" spans="1:11">
      <c r="A38" s="139" t="s">
        <v>807</v>
      </c>
      <c r="B38" s="139" t="s">
        <v>460</v>
      </c>
      <c r="C38" s="139" t="s">
        <v>822</v>
      </c>
      <c r="D38" s="139" t="s">
        <v>749</v>
      </c>
      <c r="E38" s="139" t="s">
        <v>766</v>
      </c>
      <c r="F38" s="139" t="s">
        <v>720</v>
      </c>
      <c r="G38" s="139" t="s">
        <v>823</v>
      </c>
      <c r="H38" s="139" t="s">
        <v>823</v>
      </c>
      <c r="I38" s="139" t="s">
        <v>823</v>
      </c>
      <c r="J38" s="139">
        <v>1</v>
      </c>
      <c r="K38" s="139" t="s">
        <v>766</v>
      </c>
    </row>
    <row r="39" spans="1:11">
      <c r="A39" t="s">
        <v>824</v>
      </c>
      <c r="B39" t="s">
        <v>460</v>
      </c>
      <c r="C39" t="s">
        <v>825</v>
      </c>
      <c r="D39" t="s">
        <v>738</v>
      </c>
      <c r="E39" t="s">
        <v>739</v>
      </c>
      <c r="F39" t="s">
        <v>720</v>
      </c>
      <c r="G39" t="s">
        <v>826</v>
      </c>
      <c r="H39" t="s">
        <v>826</v>
      </c>
      <c r="I39" t="s">
        <v>826</v>
      </c>
      <c r="J39">
        <v>1</v>
      </c>
      <c r="K39" t="s">
        <v>739</v>
      </c>
    </row>
    <row r="40" spans="1:11">
      <c r="A40" t="s">
        <v>824</v>
      </c>
      <c r="B40" t="s">
        <v>460</v>
      </c>
      <c r="C40" t="s">
        <v>827</v>
      </c>
      <c r="D40" t="s">
        <v>738</v>
      </c>
      <c r="E40" t="s">
        <v>742</v>
      </c>
      <c r="F40" t="s">
        <v>720</v>
      </c>
      <c r="G40" t="s">
        <v>828</v>
      </c>
      <c r="H40" t="s">
        <v>828</v>
      </c>
      <c r="I40" t="s">
        <v>828</v>
      </c>
      <c r="J40">
        <v>1</v>
      </c>
      <c r="K40" t="s">
        <v>742</v>
      </c>
    </row>
    <row r="41" spans="1:11">
      <c r="A41" t="s">
        <v>824</v>
      </c>
      <c r="B41" t="s">
        <v>460</v>
      </c>
      <c r="C41" t="s">
        <v>829</v>
      </c>
      <c r="D41" t="s">
        <v>745</v>
      </c>
      <c r="E41" t="s">
        <v>746</v>
      </c>
      <c r="F41" t="s">
        <v>720</v>
      </c>
      <c r="G41" t="s">
        <v>830</v>
      </c>
      <c r="H41" t="s">
        <v>830</v>
      </c>
      <c r="I41" t="s">
        <v>830</v>
      </c>
      <c r="J41">
        <v>1</v>
      </c>
      <c r="K41" t="s">
        <v>746</v>
      </c>
    </row>
    <row r="42" spans="1:11">
      <c r="A42" t="s">
        <v>824</v>
      </c>
      <c r="B42" t="s">
        <v>460</v>
      </c>
      <c r="C42" t="s">
        <v>831</v>
      </c>
      <c r="D42" t="s">
        <v>749</v>
      </c>
      <c r="E42" t="s">
        <v>750</v>
      </c>
      <c r="F42" t="s">
        <v>720</v>
      </c>
      <c r="G42" t="s">
        <v>832</v>
      </c>
      <c r="H42" t="s">
        <v>833</v>
      </c>
      <c r="I42" t="s">
        <v>834</v>
      </c>
      <c r="J42">
        <v>2</v>
      </c>
      <c r="K42" t="s">
        <v>754</v>
      </c>
    </row>
    <row r="43" spans="1:11">
      <c r="A43" t="s">
        <v>824</v>
      </c>
      <c r="B43" t="s">
        <v>460</v>
      </c>
      <c r="C43" t="s">
        <v>835</v>
      </c>
      <c r="D43" t="s">
        <v>756</v>
      </c>
      <c r="E43" t="s">
        <v>757</v>
      </c>
      <c r="F43" t="s">
        <v>720</v>
      </c>
      <c r="G43" t="s">
        <v>836</v>
      </c>
      <c r="H43" t="s">
        <v>836</v>
      </c>
      <c r="I43" t="s">
        <v>836</v>
      </c>
      <c r="J43">
        <v>1</v>
      </c>
      <c r="K43" t="s">
        <v>757</v>
      </c>
    </row>
    <row r="44" spans="1:11">
      <c r="A44" t="s">
        <v>824</v>
      </c>
      <c r="B44" t="s">
        <v>460</v>
      </c>
      <c r="C44" t="s">
        <v>837</v>
      </c>
      <c r="D44" t="s">
        <v>749</v>
      </c>
      <c r="E44" t="s">
        <v>760</v>
      </c>
      <c r="F44" t="s">
        <v>720</v>
      </c>
      <c r="G44" t="s">
        <v>838</v>
      </c>
      <c r="H44" t="s">
        <v>838</v>
      </c>
      <c r="I44" t="s">
        <v>838</v>
      </c>
      <c r="J44">
        <v>1</v>
      </c>
      <c r="K44" t="s">
        <v>760</v>
      </c>
    </row>
    <row r="45" spans="1:11">
      <c r="A45" t="s">
        <v>824</v>
      </c>
      <c r="B45" t="s">
        <v>460</v>
      </c>
      <c r="C45" t="s">
        <v>839</v>
      </c>
      <c r="D45" t="s">
        <v>756</v>
      </c>
      <c r="E45" t="s">
        <v>763</v>
      </c>
      <c r="F45" t="s">
        <v>720</v>
      </c>
      <c r="G45" t="s">
        <v>840</v>
      </c>
      <c r="H45" t="s">
        <v>840</v>
      </c>
      <c r="I45" t="s">
        <v>840</v>
      </c>
      <c r="J45">
        <v>1</v>
      </c>
      <c r="K45" t="s">
        <v>763</v>
      </c>
    </row>
    <row r="46" spans="1:11">
      <c r="A46" s="139" t="s">
        <v>824</v>
      </c>
      <c r="B46" s="139" t="s">
        <v>460</v>
      </c>
      <c r="C46" s="139" t="s">
        <v>841</v>
      </c>
      <c r="D46" s="139" t="s">
        <v>749</v>
      </c>
      <c r="E46" s="139" t="s">
        <v>766</v>
      </c>
      <c r="F46" s="139" t="s">
        <v>720</v>
      </c>
      <c r="G46" s="139" t="s">
        <v>842</v>
      </c>
      <c r="H46" s="139" t="s">
        <v>842</v>
      </c>
      <c r="I46" s="139" t="s">
        <v>842</v>
      </c>
      <c r="J46" s="139">
        <v>1</v>
      </c>
      <c r="K46" s="139" t="s">
        <v>766</v>
      </c>
    </row>
    <row r="47" spans="1:11">
      <c r="A47" t="s">
        <v>843</v>
      </c>
      <c r="B47" t="s">
        <v>460</v>
      </c>
      <c r="C47" t="s">
        <v>844</v>
      </c>
      <c r="D47" t="s">
        <v>738</v>
      </c>
      <c r="E47" t="s">
        <v>739</v>
      </c>
      <c r="F47" t="s">
        <v>720</v>
      </c>
      <c r="G47" t="s">
        <v>845</v>
      </c>
      <c r="H47" t="s">
        <v>845</v>
      </c>
      <c r="I47" t="s">
        <v>845</v>
      </c>
      <c r="J47">
        <v>1</v>
      </c>
      <c r="K47" t="s">
        <v>739</v>
      </c>
    </row>
    <row r="48" spans="1:11">
      <c r="A48" t="s">
        <v>843</v>
      </c>
      <c r="B48" t="s">
        <v>460</v>
      </c>
      <c r="C48" t="s">
        <v>846</v>
      </c>
      <c r="D48" t="s">
        <v>738</v>
      </c>
      <c r="E48" t="s">
        <v>742</v>
      </c>
      <c r="F48" t="s">
        <v>720</v>
      </c>
      <c r="G48" t="s">
        <v>847</v>
      </c>
      <c r="H48" t="s">
        <v>847</v>
      </c>
      <c r="I48" t="s">
        <v>847</v>
      </c>
      <c r="J48">
        <v>1</v>
      </c>
      <c r="K48" t="s">
        <v>742</v>
      </c>
    </row>
    <row r="49" spans="1:11">
      <c r="A49" t="s">
        <v>843</v>
      </c>
      <c r="B49" t="s">
        <v>460</v>
      </c>
      <c r="C49" t="s">
        <v>848</v>
      </c>
      <c r="D49" t="s">
        <v>745</v>
      </c>
      <c r="E49" t="s">
        <v>746</v>
      </c>
      <c r="F49" t="s">
        <v>720</v>
      </c>
      <c r="G49" t="s">
        <v>849</v>
      </c>
      <c r="H49" t="s">
        <v>849</v>
      </c>
      <c r="I49" t="s">
        <v>849</v>
      </c>
      <c r="J49">
        <v>1</v>
      </c>
      <c r="K49" t="s">
        <v>746</v>
      </c>
    </row>
    <row r="50" spans="1:11">
      <c r="A50" t="s">
        <v>843</v>
      </c>
      <c r="B50" t="s">
        <v>460</v>
      </c>
      <c r="C50" t="s">
        <v>850</v>
      </c>
      <c r="D50" t="s">
        <v>749</v>
      </c>
      <c r="E50" t="s">
        <v>750</v>
      </c>
      <c r="F50" t="s">
        <v>720</v>
      </c>
      <c r="G50" t="s">
        <v>851</v>
      </c>
      <c r="H50" t="s">
        <v>852</v>
      </c>
      <c r="I50" t="s">
        <v>853</v>
      </c>
      <c r="J50">
        <v>2</v>
      </c>
      <c r="K50" t="s">
        <v>754</v>
      </c>
    </row>
    <row r="51" spans="1:11">
      <c r="A51" t="s">
        <v>843</v>
      </c>
      <c r="B51" t="s">
        <v>460</v>
      </c>
      <c r="C51" t="s">
        <v>854</v>
      </c>
      <c r="D51" t="s">
        <v>756</v>
      </c>
      <c r="E51" t="s">
        <v>757</v>
      </c>
      <c r="F51" t="s">
        <v>720</v>
      </c>
      <c r="G51" t="s">
        <v>855</v>
      </c>
      <c r="H51" t="s">
        <v>855</v>
      </c>
      <c r="I51" t="s">
        <v>855</v>
      </c>
      <c r="J51">
        <v>1</v>
      </c>
      <c r="K51" t="s">
        <v>757</v>
      </c>
    </row>
    <row r="52" spans="1:11">
      <c r="A52" t="s">
        <v>843</v>
      </c>
      <c r="B52" t="s">
        <v>460</v>
      </c>
      <c r="C52" t="s">
        <v>856</v>
      </c>
      <c r="D52" t="s">
        <v>749</v>
      </c>
      <c r="E52" t="s">
        <v>760</v>
      </c>
      <c r="F52" t="s">
        <v>720</v>
      </c>
      <c r="G52" t="s">
        <v>857</v>
      </c>
      <c r="H52" t="s">
        <v>857</v>
      </c>
      <c r="I52" t="s">
        <v>857</v>
      </c>
      <c r="J52">
        <v>1</v>
      </c>
      <c r="K52" t="s">
        <v>760</v>
      </c>
    </row>
    <row r="53" spans="1:11">
      <c r="A53" t="s">
        <v>843</v>
      </c>
      <c r="B53" t="s">
        <v>460</v>
      </c>
      <c r="C53" t="s">
        <v>858</v>
      </c>
      <c r="D53" t="s">
        <v>756</v>
      </c>
      <c r="E53" t="s">
        <v>859</v>
      </c>
      <c r="F53" t="s">
        <v>720</v>
      </c>
      <c r="G53" t="s">
        <v>860</v>
      </c>
      <c r="H53" t="s">
        <v>860</v>
      </c>
      <c r="I53" t="s">
        <v>860</v>
      </c>
      <c r="J53">
        <v>1</v>
      </c>
      <c r="K53" t="s">
        <v>859</v>
      </c>
    </row>
    <row r="54" spans="1:11">
      <c r="A54" t="s">
        <v>843</v>
      </c>
      <c r="B54" t="s">
        <v>460</v>
      </c>
      <c r="C54" t="s">
        <v>861</v>
      </c>
      <c r="D54" t="s">
        <v>756</v>
      </c>
      <c r="E54" t="s">
        <v>763</v>
      </c>
      <c r="F54" t="s">
        <v>720</v>
      </c>
      <c r="G54" t="s">
        <v>862</v>
      </c>
      <c r="H54" t="s">
        <v>862</v>
      </c>
      <c r="I54" t="s">
        <v>862</v>
      </c>
      <c r="J54">
        <v>1</v>
      </c>
      <c r="K54" t="s">
        <v>763</v>
      </c>
    </row>
    <row r="55" spans="1:11">
      <c r="A55" s="139" t="s">
        <v>843</v>
      </c>
      <c r="B55" s="139" t="s">
        <v>460</v>
      </c>
      <c r="C55" s="139" t="s">
        <v>863</v>
      </c>
      <c r="D55" s="139" t="s">
        <v>749</v>
      </c>
      <c r="E55" s="139" t="s">
        <v>766</v>
      </c>
      <c r="F55" s="139" t="s">
        <v>720</v>
      </c>
      <c r="G55" s="139" t="s">
        <v>864</v>
      </c>
      <c r="H55" s="139" t="s">
        <v>864</v>
      </c>
      <c r="I55" s="139" t="s">
        <v>864</v>
      </c>
      <c r="J55" s="139">
        <v>1</v>
      </c>
      <c r="K55" s="139" t="s">
        <v>766</v>
      </c>
    </row>
    <row r="56" spans="1:11">
      <c r="A56" t="s">
        <v>865</v>
      </c>
      <c r="B56" t="s">
        <v>460</v>
      </c>
      <c r="C56" t="s">
        <v>866</v>
      </c>
      <c r="D56" t="s">
        <v>738</v>
      </c>
      <c r="E56" t="s">
        <v>739</v>
      </c>
      <c r="F56" t="s">
        <v>720</v>
      </c>
      <c r="G56" t="s">
        <v>867</v>
      </c>
      <c r="H56" t="s">
        <v>867</v>
      </c>
      <c r="I56" t="s">
        <v>867</v>
      </c>
      <c r="J56">
        <v>1</v>
      </c>
      <c r="K56" t="s">
        <v>739</v>
      </c>
    </row>
    <row r="57" spans="1:11">
      <c r="A57" t="s">
        <v>865</v>
      </c>
      <c r="B57" t="s">
        <v>460</v>
      </c>
      <c r="C57" t="s">
        <v>868</v>
      </c>
      <c r="D57" t="s">
        <v>738</v>
      </c>
      <c r="E57" t="s">
        <v>742</v>
      </c>
      <c r="F57" t="s">
        <v>720</v>
      </c>
      <c r="G57" t="s">
        <v>869</v>
      </c>
      <c r="H57" t="s">
        <v>869</v>
      </c>
      <c r="I57" t="s">
        <v>869</v>
      </c>
      <c r="J57">
        <v>1</v>
      </c>
      <c r="K57" t="s">
        <v>742</v>
      </c>
    </row>
    <row r="58" spans="1:11">
      <c r="A58" t="s">
        <v>865</v>
      </c>
      <c r="B58" t="s">
        <v>460</v>
      </c>
      <c r="C58" t="s">
        <v>870</v>
      </c>
      <c r="D58" t="s">
        <v>745</v>
      </c>
      <c r="E58" t="s">
        <v>746</v>
      </c>
      <c r="F58" t="s">
        <v>720</v>
      </c>
      <c r="G58" t="s">
        <v>871</v>
      </c>
      <c r="H58" t="s">
        <v>871</v>
      </c>
      <c r="I58" t="s">
        <v>871</v>
      </c>
      <c r="J58">
        <v>1</v>
      </c>
      <c r="K58" t="s">
        <v>746</v>
      </c>
    </row>
    <row r="59" spans="1:11">
      <c r="A59" t="s">
        <v>865</v>
      </c>
      <c r="B59" t="s">
        <v>460</v>
      </c>
      <c r="C59" t="s">
        <v>872</v>
      </c>
      <c r="D59" t="s">
        <v>749</v>
      </c>
      <c r="E59" t="s">
        <v>750</v>
      </c>
      <c r="F59" t="s">
        <v>720</v>
      </c>
      <c r="G59" t="s">
        <v>873</v>
      </c>
      <c r="H59" t="s">
        <v>874</v>
      </c>
      <c r="I59" t="s">
        <v>875</v>
      </c>
      <c r="J59">
        <v>2</v>
      </c>
      <c r="K59" t="s">
        <v>754</v>
      </c>
    </row>
    <row r="60" spans="1:11">
      <c r="A60" t="s">
        <v>865</v>
      </c>
      <c r="B60" t="s">
        <v>460</v>
      </c>
      <c r="C60" t="s">
        <v>876</v>
      </c>
      <c r="D60" t="s">
        <v>756</v>
      </c>
      <c r="E60" t="s">
        <v>757</v>
      </c>
      <c r="F60" t="s">
        <v>720</v>
      </c>
      <c r="G60" t="s">
        <v>877</v>
      </c>
      <c r="H60" t="s">
        <v>877</v>
      </c>
      <c r="I60" t="s">
        <v>877</v>
      </c>
      <c r="J60">
        <v>1</v>
      </c>
      <c r="K60" t="s">
        <v>757</v>
      </c>
    </row>
    <row r="61" spans="1:11">
      <c r="A61" t="s">
        <v>865</v>
      </c>
      <c r="B61" t="s">
        <v>460</v>
      </c>
      <c r="C61" t="s">
        <v>878</v>
      </c>
      <c r="D61" t="s">
        <v>749</v>
      </c>
      <c r="E61" t="s">
        <v>760</v>
      </c>
      <c r="F61" t="s">
        <v>720</v>
      </c>
      <c r="G61" t="s">
        <v>879</v>
      </c>
      <c r="H61" t="s">
        <v>879</v>
      </c>
      <c r="I61" t="s">
        <v>879</v>
      </c>
      <c r="J61">
        <v>1</v>
      </c>
      <c r="K61" t="s">
        <v>760</v>
      </c>
    </row>
    <row r="62" spans="1:11">
      <c r="A62" t="s">
        <v>865</v>
      </c>
      <c r="B62" t="s">
        <v>460</v>
      </c>
      <c r="C62" t="s">
        <v>880</v>
      </c>
      <c r="D62" t="s">
        <v>756</v>
      </c>
      <c r="E62" t="s">
        <v>859</v>
      </c>
      <c r="F62" t="s">
        <v>720</v>
      </c>
      <c r="G62" t="s">
        <v>881</v>
      </c>
      <c r="H62" t="s">
        <v>881</v>
      </c>
      <c r="I62" t="s">
        <v>881</v>
      </c>
      <c r="J62">
        <v>1</v>
      </c>
      <c r="K62" t="s">
        <v>859</v>
      </c>
    </row>
    <row r="63" spans="1:11">
      <c r="A63" t="s">
        <v>865</v>
      </c>
      <c r="B63" t="s">
        <v>460</v>
      </c>
      <c r="C63" t="s">
        <v>882</v>
      </c>
      <c r="D63" t="s">
        <v>756</v>
      </c>
      <c r="E63" t="s">
        <v>763</v>
      </c>
      <c r="F63" t="s">
        <v>720</v>
      </c>
      <c r="G63" t="s">
        <v>883</v>
      </c>
      <c r="H63" t="s">
        <v>883</v>
      </c>
      <c r="I63" t="s">
        <v>883</v>
      </c>
      <c r="J63">
        <v>1</v>
      </c>
      <c r="K63" t="s">
        <v>763</v>
      </c>
    </row>
    <row r="64" spans="1:11">
      <c r="A64" s="139" t="s">
        <v>865</v>
      </c>
      <c r="B64" s="139" t="s">
        <v>460</v>
      </c>
      <c r="C64" s="139" t="s">
        <v>884</v>
      </c>
      <c r="D64" s="139" t="s">
        <v>749</v>
      </c>
      <c r="E64" s="139" t="s">
        <v>766</v>
      </c>
      <c r="F64" s="139" t="s">
        <v>720</v>
      </c>
      <c r="G64" s="139" t="s">
        <v>885</v>
      </c>
      <c r="H64" s="139" t="s">
        <v>885</v>
      </c>
      <c r="I64" s="139" t="s">
        <v>885</v>
      </c>
      <c r="J64" s="139">
        <v>1</v>
      </c>
      <c r="K64" s="139" t="s">
        <v>766</v>
      </c>
    </row>
    <row r="65" spans="1:11">
      <c r="A65" t="s">
        <v>886</v>
      </c>
      <c r="B65" t="s">
        <v>460</v>
      </c>
      <c r="C65" t="s">
        <v>887</v>
      </c>
      <c r="D65" t="s">
        <v>738</v>
      </c>
      <c r="E65" t="s">
        <v>739</v>
      </c>
      <c r="F65" t="s">
        <v>720</v>
      </c>
      <c r="G65" t="s">
        <v>888</v>
      </c>
      <c r="H65" t="s">
        <v>888</v>
      </c>
      <c r="I65" t="s">
        <v>888</v>
      </c>
      <c r="J65">
        <v>1</v>
      </c>
      <c r="K65" t="s">
        <v>739</v>
      </c>
    </row>
    <row r="66" spans="1:11">
      <c r="A66" t="s">
        <v>886</v>
      </c>
      <c r="B66" t="s">
        <v>460</v>
      </c>
      <c r="C66" t="s">
        <v>889</v>
      </c>
      <c r="D66" t="s">
        <v>738</v>
      </c>
      <c r="E66" t="s">
        <v>742</v>
      </c>
      <c r="F66" t="s">
        <v>720</v>
      </c>
      <c r="G66" t="s">
        <v>890</v>
      </c>
      <c r="H66" t="s">
        <v>890</v>
      </c>
      <c r="I66" t="s">
        <v>890</v>
      </c>
      <c r="J66">
        <v>1</v>
      </c>
      <c r="K66" t="s">
        <v>742</v>
      </c>
    </row>
    <row r="67" spans="1:11">
      <c r="A67" t="s">
        <v>886</v>
      </c>
      <c r="B67" t="s">
        <v>460</v>
      </c>
      <c r="C67" t="s">
        <v>891</v>
      </c>
      <c r="D67" t="s">
        <v>745</v>
      </c>
      <c r="E67" t="s">
        <v>746</v>
      </c>
      <c r="F67" t="s">
        <v>720</v>
      </c>
      <c r="G67" t="s">
        <v>892</v>
      </c>
      <c r="H67" t="s">
        <v>892</v>
      </c>
      <c r="I67" t="s">
        <v>892</v>
      </c>
      <c r="J67">
        <v>1</v>
      </c>
      <c r="K67" t="s">
        <v>746</v>
      </c>
    </row>
    <row r="68" spans="1:11">
      <c r="A68" t="s">
        <v>886</v>
      </c>
      <c r="B68" t="s">
        <v>460</v>
      </c>
      <c r="C68" t="s">
        <v>893</v>
      </c>
      <c r="D68" t="s">
        <v>749</v>
      </c>
      <c r="E68" t="s">
        <v>750</v>
      </c>
      <c r="F68" t="s">
        <v>720</v>
      </c>
      <c r="G68" t="s">
        <v>894</v>
      </c>
      <c r="H68" t="s">
        <v>895</v>
      </c>
      <c r="I68" t="s">
        <v>896</v>
      </c>
      <c r="J68">
        <v>2</v>
      </c>
      <c r="K68" t="s">
        <v>754</v>
      </c>
    </row>
    <row r="69" spans="1:11">
      <c r="A69" t="s">
        <v>886</v>
      </c>
      <c r="B69" t="s">
        <v>460</v>
      </c>
      <c r="C69" t="s">
        <v>897</v>
      </c>
      <c r="D69" t="s">
        <v>749</v>
      </c>
      <c r="E69" t="s">
        <v>760</v>
      </c>
      <c r="F69" t="s">
        <v>720</v>
      </c>
      <c r="G69" t="s">
        <v>898</v>
      </c>
      <c r="H69" t="s">
        <v>898</v>
      </c>
      <c r="I69" t="s">
        <v>898</v>
      </c>
      <c r="J69">
        <v>1</v>
      </c>
      <c r="K69" t="s">
        <v>760</v>
      </c>
    </row>
    <row r="70" spans="1:11">
      <c r="A70" t="s">
        <v>886</v>
      </c>
      <c r="B70" t="s">
        <v>460</v>
      </c>
      <c r="C70" t="s">
        <v>899</v>
      </c>
      <c r="D70" t="s">
        <v>756</v>
      </c>
      <c r="E70" t="s">
        <v>763</v>
      </c>
      <c r="F70" t="s">
        <v>720</v>
      </c>
      <c r="G70" t="s">
        <v>900</v>
      </c>
      <c r="H70" t="s">
        <v>900</v>
      </c>
      <c r="I70" t="s">
        <v>900</v>
      </c>
      <c r="J70">
        <v>1</v>
      </c>
      <c r="K70" t="s">
        <v>763</v>
      </c>
    </row>
    <row r="71" spans="1:11">
      <c r="A71" s="139" t="s">
        <v>886</v>
      </c>
      <c r="B71" s="139" t="s">
        <v>460</v>
      </c>
      <c r="C71" s="139" t="s">
        <v>901</v>
      </c>
      <c r="D71" s="139" t="s">
        <v>749</v>
      </c>
      <c r="E71" s="139" t="s">
        <v>766</v>
      </c>
      <c r="F71" s="139" t="s">
        <v>720</v>
      </c>
      <c r="G71" s="139" t="s">
        <v>902</v>
      </c>
      <c r="H71" s="139" t="s">
        <v>902</v>
      </c>
      <c r="I71" s="139" t="s">
        <v>902</v>
      </c>
      <c r="J71" s="139">
        <v>1</v>
      </c>
      <c r="K71" s="139" t="s">
        <v>766</v>
      </c>
    </row>
    <row r="72" spans="1:11">
      <c r="A72" t="s">
        <v>903</v>
      </c>
      <c r="B72" t="s">
        <v>460</v>
      </c>
      <c r="C72" t="s">
        <v>904</v>
      </c>
      <c r="D72" t="s">
        <v>738</v>
      </c>
      <c r="E72" t="s">
        <v>742</v>
      </c>
      <c r="F72" t="s">
        <v>720</v>
      </c>
      <c r="G72" t="s">
        <v>905</v>
      </c>
      <c r="H72" t="s">
        <v>905</v>
      </c>
      <c r="I72" t="s">
        <v>905</v>
      </c>
      <c r="J72">
        <v>1</v>
      </c>
      <c r="K72" t="s">
        <v>742</v>
      </c>
    </row>
    <row r="73" spans="1:11">
      <c r="A73" t="s">
        <v>903</v>
      </c>
      <c r="B73" t="s">
        <v>460</v>
      </c>
      <c r="C73" t="s">
        <v>906</v>
      </c>
      <c r="D73" t="s">
        <v>749</v>
      </c>
      <c r="E73" t="s">
        <v>750</v>
      </c>
      <c r="F73" t="s">
        <v>720</v>
      </c>
      <c r="G73" t="s">
        <v>907</v>
      </c>
      <c r="H73" t="s">
        <v>908</v>
      </c>
      <c r="I73" t="s">
        <v>909</v>
      </c>
      <c r="J73">
        <v>2</v>
      </c>
      <c r="K73" t="s">
        <v>754</v>
      </c>
    </row>
    <row r="74" spans="1:11">
      <c r="A74" t="s">
        <v>903</v>
      </c>
      <c r="B74" t="s">
        <v>460</v>
      </c>
      <c r="C74" t="s">
        <v>910</v>
      </c>
      <c r="D74" t="s">
        <v>756</v>
      </c>
      <c r="E74" t="s">
        <v>757</v>
      </c>
      <c r="F74" t="s">
        <v>720</v>
      </c>
      <c r="G74" t="s">
        <v>911</v>
      </c>
      <c r="H74" t="s">
        <v>911</v>
      </c>
      <c r="I74" t="s">
        <v>911</v>
      </c>
      <c r="J74">
        <v>1</v>
      </c>
      <c r="K74" t="s">
        <v>757</v>
      </c>
    </row>
    <row r="75" spans="1:11">
      <c r="A75" t="s">
        <v>903</v>
      </c>
      <c r="B75" t="s">
        <v>460</v>
      </c>
      <c r="C75" t="s">
        <v>912</v>
      </c>
      <c r="D75" t="s">
        <v>749</v>
      </c>
      <c r="E75" t="s">
        <v>760</v>
      </c>
      <c r="F75" t="s">
        <v>720</v>
      </c>
      <c r="G75" t="s">
        <v>913</v>
      </c>
      <c r="H75" t="s">
        <v>913</v>
      </c>
      <c r="I75" t="s">
        <v>913</v>
      </c>
      <c r="J75">
        <v>1</v>
      </c>
      <c r="K75" t="s">
        <v>760</v>
      </c>
    </row>
    <row r="76" spans="1:11">
      <c r="A76" t="s">
        <v>903</v>
      </c>
      <c r="B76" t="s">
        <v>460</v>
      </c>
      <c r="C76" t="s">
        <v>914</v>
      </c>
      <c r="D76" t="s">
        <v>756</v>
      </c>
      <c r="E76" t="s">
        <v>763</v>
      </c>
      <c r="F76" t="s">
        <v>720</v>
      </c>
      <c r="G76" t="s">
        <v>915</v>
      </c>
      <c r="H76" t="s">
        <v>915</v>
      </c>
      <c r="I76" t="s">
        <v>915</v>
      </c>
      <c r="J76">
        <v>1</v>
      </c>
      <c r="K76" t="s">
        <v>763</v>
      </c>
    </row>
    <row r="77" spans="1:11">
      <c r="A77" s="139" t="s">
        <v>903</v>
      </c>
      <c r="B77" s="139" t="s">
        <v>460</v>
      </c>
      <c r="C77" s="139" t="s">
        <v>916</v>
      </c>
      <c r="D77" s="139" t="s">
        <v>749</v>
      </c>
      <c r="E77" s="139" t="s">
        <v>766</v>
      </c>
      <c r="F77" s="139" t="s">
        <v>720</v>
      </c>
      <c r="G77" s="139" t="s">
        <v>917</v>
      </c>
      <c r="H77" s="139" t="s">
        <v>917</v>
      </c>
      <c r="I77" s="139" t="s">
        <v>917</v>
      </c>
      <c r="J77" s="139">
        <v>1</v>
      </c>
      <c r="K77" s="139" t="s">
        <v>766</v>
      </c>
    </row>
    <row r="78" spans="1:11">
      <c r="A78" t="s">
        <v>918</v>
      </c>
      <c r="B78" t="s">
        <v>460</v>
      </c>
      <c r="C78" t="s">
        <v>919</v>
      </c>
      <c r="D78" t="s">
        <v>738</v>
      </c>
      <c r="E78" t="s">
        <v>739</v>
      </c>
      <c r="F78" t="s">
        <v>720</v>
      </c>
      <c r="G78" t="s">
        <v>920</v>
      </c>
      <c r="H78" t="s">
        <v>920</v>
      </c>
      <c r="I78" t="s">
        <v>920</v>
      </c>
      <c r="J78">
        <v>1</v>
      </c>
      <c r="K78" t="s">
        <v>739</v>
      </c>
    </row>
    <row r="79" spans="1:11">
      <c r="A79" t="s">
        <v>918</v>
      </c>
      <c r="B79" t="s">
        <v>460</v>
      </c>
      <c r="C79" t="s">
        <v>921</v>
      </c>
      <c r="D79" t="s">
        <v>738</v>
      </c>
      <c r="E79" t="s">
        <v>742</v>
      </c>
      <c r="F79" t="s">
        <v>720</v>
      </c>
      <c r="G79" t="s">
        <v>922</v>
      </c>
      <c r="H79" t="s">
        <v>922</v>
      </c>
      <c r="I79" t="s">
        <v>922</v>
      </c>
      <c r="J79">
        <v>1</v>
      </c>
      <c r="K79" t="s">
        <v>742</v>
      </c>
    </row>
    <row r="80" spans="1:11">
      <c r="A80" t="s">
        <v>918</v>
      </c>
      <c r="B80" t="s">
        <v>460</v>
      </c>
      <c r="C80" t="s">
        <v>923</v>
      </c>
      <c r="D80" t="s">
        <v>749</v>
      </c>
      <c r="E80" t="s">
        <v>750</v>
      </c>
      <c r="F80" t="s">
        <v>720</v>
      </c>
      <c r="G80" t="s">
        <v>924</v>
      </c>
      <c r="H80" t="s">
        <v>925</v>
      </c>
      <c r="I80" t="s">
        <v>926</v>
      </c>
      <c r="J80">
        <v>2</v>
      </c>
      <c r="K80" t="s">
        <v>754</v>
      </c>
    </row>
    <row r="81" spans="1:11">
      <c r="A81" t="s">
        <v>918</v>
      </c>
      <c r="B81" t="s">
        <v>460</v>
      </c>
      <c r="C81" t="s">
        <v>927</v>
      </c>
      <c r="D81" t="s">
        <v>756</v>
      </c>
      <c r="E81" t="s">
        <v>757</v>
      </c>
      <c r="F81" t="s">
        <v>720</v>
      </c>
      <c r="G81" t="s">
        <v>928</v>
      </c>
      <c r="H81" t="s">
        <v>928</v>
      </c>
      <c r="I81" t="s">
        <v>928</v>
      </c>
      <c r="J81">
        <v>1</v>
      </c>
      <c r="K81" t="s">
        <v>757</v>
      </c>
    </row>
    <row r="82" spans="1:11">
      <c r="A82" t="s">
        <v>918</v>
      </c>
      <c r="B82" t="s">
        <v>460</v>
      </c>
      <c r="C82" t="s">
        <v>929</v>
      </c>
      <c r="D82" t="s">
        <v>749</v>
      </c>
      <c r="E82" t="s">
        <v>760</v>
      </c>
      <c r="F82" t="s">
        <v>720</v>
      </c>
      <c r="G82" t="s">
        <v>930</v>
      </c>
      <c r="H82" t="s">
        <v>930</v>
      </c>
      <c r="I82" t="s">
        <v>930</v>
      </c>
      <c r="J82">
        <v>1</v>
      </c>
      <c r="K82" t="s">
        <v>760</v>
      </c>
    </row>
    <row r="83" spans="1:11">
      <c r="A83" t="s">
        <v>918</v>
      </c>
      <c r="B83" t="s">
        <v>460</v>
      </c>
      <c r="C83" t="s">
        <v>931</v>
      </c>
      <c r="D83" t="s">
        <v>756</v>
      </c>
      <c r="E83" t="s">
        <v>859</v>
      </c>
      <c r="F83" t="s">
        <v>720</v>
      </c>
      <c r="G83" t="s">
        <v>932</v>
      </c>
      <c r="H83" t="s">
        <v>932</v>
      </c>
      <c r="I83" t="s">
        <v>932</v>
      </c>
      <c r="J83">
        <v>1</v>
      </c>
      <c r="K83" t="s">
        <v>859</v>
      </c>
    </row>
    <row r="84" spans="1:11">
      <c r="A84" t="s">
        <v>918</v>
      </c>
      <c r="B84" t="s">
        <v>460</v>
      </c>
      <c r="C84" t="s">
        <v>933</v>
      </c>
      <c r="D84" t="s">
        <v>756</v>
      </c>
      <c r="E84" t="s">
        <v>763</v>
      </c>
      <c r="F84" t="s">
        <v>720</v>
      </c>
      <c r="G84" t="s">
        <v>934</v>
      </c>
      <c r="H84" t="s">
        <v>934</v>
      </c>
      <c r="I84" t="s">
        <v>934</v>
      </c>
      <c r="J84">
        <v>1</v>
      </c>
      <c r="K84" t="s">
        <v>763</v>
      </c>
    </row>
    <row r="85" spans="1:11">
      <c r="A85" s="139" t="s">
        <v>918</v>
      </c>
      <c r="B85" s="139" t="s">
        <v>460</v>
      </c>
      <c r="C85" s="139" t="s">
        <v>935</v>
      </c>
      <c r="D85" s="139" t="s">
        <v>749</v>
      </c>
      <c r="E85" s="139" t="s">
        <v>766</v>
      </c>
      <c r="F85" s="139" t="s">
        <v>720</v>
      </c>
      <c r="G85" s="139" t="s">
        <v>936</v>
      </c>
      <c r="H85" s="139" t="s">
        <v>936</v>
      </c>
      <c r="I85" s="139" t="s">
        <v>936</v>
      </c>
      <c r="J85" s="139">
        <v>1</v>
      </c>
      <c r="K85" s="139" t="s">
        <v>766</v>
      </c>
    </row>
    <row r="86" spans="1:11">
      <c r="A86" t="s">
        <v>937</v>
      </c>
      <c r="B86" t="s">
        <v>460</v>
      </c>
      <c r="C86" t="s">
        <v>938</v>
      </c>
      <c r="D86" t="s">
        <v>738</v>
      </c>
      <c r="E86" t="s">
        <v>739</v>
      </c>
      <c r="F86" t="s">
        <v>720</v>
      </c>
      <c r="G86" t="s">
        <v>939</v>
      </c>
      <c r="H86" t="s">
        <v>939</v>
      </c>
      <c r="I86" t="s">
        <v>939</v>
      </c>
      <c r="J86">
        <v>1</v>
      </c>
      <c r="K86" t="s">
        <v>739</v>
      </c>
    </row>
    <row r="87" spans="1:11">
      <c r="A87" t="s">
        <v>937</v>
      </c>
      <c r="B87" t="s">
        <v>460</v>
      </c>
      <c r="C87" t="s">
        <v>940</v>
      </c>
      <c r="D87" t="s">
        <v>738</v>
      </c>
      <c r="E87" t="s">
        <v>742</v>
      </c>
      <c r="F87" t="s">
        <v>720</v>
      </c>
      <c r="G87" t="s">
        <v>941</v>
      </c>
      <c r="H87" t="s">
        <v>941</v>
      </c>
      <c r="I87" t="s">
        <v>941</v>
      </c>
      <c r="J87">
        <v>1</v>
      </c>
      <c r="K87" t="s">
        <v>742</v>
      </c>
    </row>
    <row r="88" spans="1:11">
      <c r="A88" t="s">
        <v>937</v>
      </c>
      <c r="B88" t="s">
        <v>460</v>
      </c>
      <c r="C88" t="s">
        <v>942</v>
      </c>
      <c r="D88" t="s">
        <v>745</v>
      </c>
      <c r="E88" t="s">
        <v>746</v>
      </c>
      <c r="F88" t="s">
        <v>720</v>
      </c>
      <c r="G88" t="s">
        <v>943</v>
      </c>
      <c r="H88" t="s">
        <v>943</v>
      </c>
      <c r="I88" t="s">
        <v>943</v>
      </c>
      <c r="J88">
        <v>1</v>
      </c>
      <c r="K88" t="s">
        <v>746</v>
      </c>
    </row>
    <row r="89" spans="1:11">
      <c r="A89" t="s">
        <v>937</v>
      </c>
      <c r="B89" t="s">
        <v>460</v>
      </c>
      <c r="C89" t="s">
        <v>944</v>
      </c>
      <c r="D89" t="s">
        <v>749</v>
      </c>
      <c r="E89" t="s">
        <v>750</v>
      </c>
      <c r="F89" t="s">
        <v>720</v>
      </c>
      <c r="G89" t="s">
        <v>945</v>
      </c>
      <c r="H89" t="s">
        <v>946</v>
      </c>
      <c r="I89" t="s">
        <v>947</v>
      </c>
      <c r="J89">
        <v>2</v>
      </c>
      <c r="K89" t="s">
        <v>754</v>
      </c>
    </row>
    <row r="90" spans="1:11">
      <c r="A90" t="s">
        <v>937</v>
      </c>
      <c r="B90" t="s">
        <v>460</v>
      </c>
      <c r="C90" t="s">
        <v>948</v>
      </c>
      <c r="D90" t="s">
        <v>756</v>
      </c>
      <c r="E90" t="s">
        <v>757</v>
      </c>
      <c r="F90" t="s">
        <v>720</v>
      </c>
      <c r="G90" t="s">
        <v>949</v>
      </c>
      <c r="H90" t="s">
        <v>949</v>
      </c>
      <c r="I90" t="s">
        <v>949</v>
      </c>
      <c r="J90">
        <v>1</v>
      </c>
      <c r="K90" t="s">
        <v>757</v>
      </c>
    </row>
    <row r="91" spans="1:11">
      <c r="A91" t="s">
        <v>937</v>
      </c>
      <c r="B91" t="s">
        <v>460</v>
      </c>
      <c r="C91" t="s">
        <v>950</v>
      </c>
      <c r="D91" t="s">
        <v>749</v>
      </c>
      <c r="E91" t="s">
        <v>760</v>
      </c>
      <c r="F91" t="s">
        <v>720</v>
      </c>
      <c r="G91" t="s">
        <v>951</v>
      </c>
      <c r="H91" t="s">
        <v>951</v>
      </c>
      <c r="I91" t="s">
        <v>951</v>
      </c>
      <c r="J91">
        <v>1</v>
      </c>
      <c r="K91" t="s">
        <v>760</v>
      </c>
    </row>
    <row r="92" spans="1:11">
      <c r="A92" t="s">
        <v>937</v>
      </c>
      <c r="B92" t="s">
        <v>460</v>
      </c>
      <c r="C92" t="s">
        <v>952</v>
      </c>
      <c r="D92" t="s">
        <v>756</v>
      </c>
      <c r="E92" t="s">
        <v>763</v>
      </c>
      <c r="F92" t="s">
        <v>720</v>
      </c>
      <c r="G92" t="s">
        <v>953</v>
      </c>
      <c r="H92" t="s">
        <v>953</v>
      </c>
      <c r="I92" t="s">
        <v>953</v>
      </c>
      <c r="J92">
        <v>1</v>
      </c>
      <c r="K92" t="s">
        <v>763</v>
      </c>
    </row>
    <row r="93" spans="1:11">
      <c r="A93" s="139" t="s">
        <v>937</v>
      </c>
      <c r="B93" s="139" t="s">
        <v>460</v>
      </c>
      <c r="C93" s="139" t="s">
        <v>954</v>
      </c>
      <c r="D93" s="139" t="s">
        <v>749</v>
      </c>
      <c r="E93" s="139" t="s">
        <v>766</v>
      </c>
      <c r="F93" s="139" t="s">
        <v>720</v>
      </c>
      <c r="G93" s="139" t="s">
        <v>955</v>
      </c>
      <c r="H93" s="139" t="s">
        <v>955</v>
      </c>
      <c r="I93" s="139" t="s">
        <v>955</v>
      </c>
      <c r="J93" s="139">
        <v>1</v>
      </c>
      <c r="K93" s="139" t="s">
        <v>766</v>
      </c>
    </row>
    <row r="94" spans="1:11">
      <c r="A94" t="s">
        <v>956</v>
      </c>
      <c r="B94" t="s">
        <v>525</v>
      </c>
      <c r="C94" t="s">
        <v>957</v>
      </c>
      <c r="D94" t="s">
        <v>738</v>
      </c>
      <c r="E94" t="s">
        <v>739</v>
      </c>
      <c r="F94" t="s">
        <v>720</v>
      </c>
      <c r="G94" t="s">
        <v>958</v>
      </c>
      <c r="H94" t="s">
        <v>958</v>
      </c>
      <c r="I94" t="s">
        <v>958</v>
      </c>
      <c r="J94">
        <v>1</v>
      </c>
      <c r="K94" t="s">
        <v>739</v>
      </c>
    </row>
    <row r="95" spans="1:11">
      <c r="A95" t="s">
        <v>956</v>
      </c>
      <c r="B95" t="s">
        <v>525</v>
      </c>
      <c r="C95" t="s">
        <v>959</v>
      </c>
      <c r="D95" t="s">
        <v>738</v>
      </c>
      <c r="E95" t="s">
        <v>742</v>
      </c>
      <c r="F95" t="s">
        <v>720</v>
      </c>
      <c r="G95" t="s">
        <v>960</v>
      </c>
      <c r="H95" t="s">
        <v>960</v>
      </c>
      <c r="I95" t="s">
        <v>960</v>
      </c>
      <c r="J95">
        <v>1</v>
      </c>
      <c r="K95" t="s">
        <v>742</v>
      </c>
    </row>
    <row r="96" spans="1:11">
      <c r="A96" t="s">
        <v>956</v>
      </c>
      <c r="B96" t="s">
        <v>525</v>
      </c>
      <c r="C96" t="s">
        <v>961</v>
      </c>
      <c r="D96" t="s">
        <v>745</v>
      </c>
      <c r="E96" t="s">
        <v>746</v>
      </c>
      <c r="F96" t="s">
        <v>720</v>
      </c>
      <c r="G96" t="s">
        <v>962</v>
      </c>
      <c r="H96" t="s">
        <v>962</v>
      </c>
      <c r="I96" t="s">
        <v>962</v>
      </c>
      <c r="J96">
        <v>1</v>
      </c>
      <c r="K96" t="s">
        <v>746</v>
      </c>
    </row>
    <row r="97" spans="1:11">
      <c r="A97" t="s">
        <v>956</v>
      </c>
      <c r="B97" t="s">
        <v>525</v>
      </c>
      <c r="C97" t="s">
        <v>963</v>
      </c>
      <c r="D97" t="s">
        <v>749</v>
      </c>
      <c r="E97" t="s">
        <v>750</v>
      </c>
      <c r="F97" t="s">
        <v>720</v>
      </c>
      <c r="G97" t="s">
        <v>964</v>
      </c>
      <c r="H97" t="s">
        <v>964</v>
      </c>
      <c r="I97" t="s">
        <v>964</v>
      </c>
      <c r="J97">
        <v>1</v>
      </c>
      <c r="K97" t="s">
        <v>750</v>
      </c>
    </row>
    <row r="98" spans="1:11">
      <c r="A98" t="s">
        <v>956</v>
      </c>
      <c r="B98" t="s">
        <v>525</v>
      </c>
      <c r="C98" t="s">
        <v>965</v>
      </c>
      <c r="D98" t="s">
        <v>749</v>
      </c>
      <c r="E98" t="s">
        <v>760</v>
      </c>
      <c r="F98" t="s">
        <v>720</v>
      </c>
      <c r="G98" t="s">
        <v>966</v>
      </c>
      <c r="H98" t="s">
        <v>966</v>
      </c>
      <c r="I98" t="s">
        <v>966</v>
      </c>
      <c r="J98">
        <v>1</v>
      </c>
      <c r="K98" t="s">
        <v>760</v>
      </c>
    </row>
    <row r="99" spans="1:11">
      <c r="A99" s="139" t="s">
        <v>956</v>
      </c>
      <c r="B99" s="139" t="s">
        <v>525</v>
      </c>
      <c r="C99" s="139" t="s">
        <v>967</v>
      </c>
      <c r="D99" s="139" t="s">
        <v>756</v>
      </c>
      <c r="E99" s="139" t="s">
        <v>859</v>
      </c>
      <c r="F99" s="139" t="s">
        <v>720</v>
      </c>
      <c r="G99" s="139" t="s">
        <v>968</v>
      </c>
      <c r="H99" s="139" t="s">
        <v>968</v>
      </c>
      <c r="I99" s="139" t="s">
        <v>968</v>
      </c>
      <c r="J99" s="139">
        <v>1</v>
      </c>
      <c r="K99" s="139" t="s">
        <v>859</v>
      </c>
    </row>
    <row r="100" spans="1:11">
      <c r="A100" t="s">
        <v>969</v>
      </c>
      <c r="B100" t="s">
        <v>525</v>
      </c>
      <c r="C100" t="s">
        <v>970</v>
      </c>
      <c r="D100" t="s">
        <v>738</v>
      </c>
      <c r="E100" t="s">
        <v>739</v>
      </c>
      <c r="F100" t="s">
        <v>720</v>
      </c>
      <c r="G100" t="s">
        <v>971</v>
      </c>
      <c r="H100" t="s">
        <v>971</v>
      </c>
      <c r="I100" t="s">
        <v>971</v>
      </c>
      <c r="J100">
        <v>1</v>
      </c>
      <c r="K100" t="s">
        <v>739</v>
      </c>
    </row>
    <row r="101" spans="1:11">
      <c r="A101" t="s">
        <v>969</v>
      </c>
      <c r="B101" t="s">
        <v>525</v>
      </c>
      <c r="C101" t="s">
        <v>972</v>
      </c>
      <c r="D101" t="s">
        <v>738</v>
      </c>
      <c r="E101" t="s">
        <v>742</v>
      </c>
      <c r="F101" t="s">
        <v>720</v>
      </c>
      <c r="G101" t="s">
        <v>973</v>
      </c>
      <c r="H101" t="s">
        <v>973</v>
      </c>
      <c r="I101" t="s">
        <v>973</v>
      </c>
      <c r="J101">
        <v>1</v>
      </c>
      <c r="K101" t="s">
        <v>742</v>
      </c>
    </row>
    <row r="102" spans="1:11">
      <c r="A102" t="s">
        <v>969</v>
      </c>
      <c r="B102" t="s">
        <v>525</v>
      </c>
      <c r="C102" t="s">
        <v>974</v>
      </c>
      <c r="D102" t="s">
        <v>745</v>
      </c>
      <c r="E102" t="s">
        <v>746</v>
      </c>
      <c r="F102" t="s">
        <v>720</v>
      </c>
      <c r="G102" t="s">
        <v>975</v>
      </c>
      <c r="H102" t="s">
        <v>975</v>
      </c>
      <c r="I102" t="s">
        <v>975</v>
      </c>
      <c r="J102">
        <v>1</v>
      </c>
      <c r="K102" t="s">
        <v>746</v>
      </c>
    </row>
    <row r="103" spans="1:11">
      <c r="A103" t="s">
        <v>969</v>
      </c>
      <c r="B103" t="s">
        <v>525</v>
      </c>
      <c r="C103" t="s">
        <v>976</v>
      </c>
      <c r="D103" t="s">
        <v>749</v>
      </c>
      <c r="E103" t="s">
        <v>750</v>
      </c>
      <c r="F103" t="s">
        <v>720</v>
      </c>
      <c r="G103" t="s">
        <v>977</v>
      </c>
      <c r="H103" t="s">
        <v>977</v>
      </c>
      <c r="I103" t="s">
        <v>977</v>
      </c>
      <c r="J103">
        <v>1</v>
      </c>
      <c r="K103" t="s">
        <v>750</v>
      </c>
    </row>
    <row r="104" spans="1:11">
      <c r="A104" t="s">
        <v>969</v>
      </c>
      <c r="B104" t="s">
        <v>525</v>
      </c>
      <c r="C104" t="s">
        <v>978</v>
      </c>
      <c r="D104" t="s">
        <v>749</v>
      </c>
      <c r="E104" t="s">
        <v>760</v>
      </c>
      <c r="F104" t="s">
        <v>720</v>
      </c>
      <c r="G104" t="s">
        <v>979</v>
      </c>
      <c r="H104" t="s">
        <v>979</v>
      </c>
      <c r="I104" t="s">
        <v>979</v>
      </c>
      <c r="J104">
        <v>1</v>
      </c>
      <c r="K104" t="s">
        <v>760</v>
      </c>
    </row>
    <row r="105" spans="1:11">
      <c r="A105" t="s">
        <v>969</v>
      </c>
      <c r="B105" t="s">
        <v>525</v>
      </c>
      <c r="C105" t="s">
        <v>980</v>
      </c>
      <c r="D105" t="s">
        <v>756</v>
      </c>
      <c r="E105" t="s">
        <v>859</v>
      </c>
      <c r="F105" t="s">
        <v>720</v>
      </c>
      <c r="G105" t="s">
        <v>981</v>
      </c>
      <c r="H105" t="s">
        <v>981</v>
      </c>
      <c r="I105" t="s">
        <v>981</v>
      </c>
      <c r="J105">
        <v>1</v>
      </c>
      <c r="K105" t="s">
        <v>859</v>
      </c>
    </row>
    <row r="106" spans="1:11">
      <c r="A106" t="s">
        <v>969</v>
      </c>
      <c r="B106" t="s">
        <v>525</v>
      </c>
      <c r="C106" t="s">
        <v>982</v>
      </c>
      <c r="D106" t="s">
        <v>756</v>
      </c>
      <c r="E106" t="s">
        <v>983</v>
      </c>
      <c r="F106" t="s">
        <v>720</v>
      </c>
      <c r="G106" t="s">
        <v>984</v>
      </c>
      <c r="H106" t="s">
        <v>984</v>
      </c>
      <c r="I106" t="s">
        <v>984</v>
      </c>
      <c r="J106">
        <v>1</v>
      </c>
      <c r="K106" t="s">
        <v>983</v>
      </c>
    </row>
    <row r="107" spans="1:11">
      <c r="A107" s="139" t="s">
        <v>969</v>
      </c>
      <c r="B107" s="139" t="s">
        <v>525</v>
      </c>
      <c r="C107" s="139" t="s">
        <v>985</v>
      </c>
      <c r="D107" s="139" t="s">
        <v>749</v>
      </c>
      <c r="E107" s="139" t="s">
        <v>766</v>
      </c>
      <c r="F107" s="139" t="s">
        <v>720</v>
      </c>
      <c r="G107" s="139" t="s">
        <v>986</v>
      </c>
      <c r="H107" s="139" t="s">
        <v>986</v>
      </c>
      <c r="I107" s="139" t="s">
        <v>986</v>
      </c>
      <c r="J107" s="139">
        <v>1</v>
      </c>
      <c r="K107" s="139" t="s">
        <v>766</v>
      </c>
    </row>
    <row r="108" spans="1:11">
      <c r="A108" s="140" t="s">
        <v>987</v>
      </c>
      <c r="B108" s="140" t="s">
        <v>260</v>
      </c>
      <c r="C108" s="140" t="s">
        <v>988</v>
      </c>
      <c r="D108" s="140" t="s">
        <v>989</v>
      </c>
      <c r="E108" s="140" t="s">
        <v>990</v>
      </c>
      <c r="F108" s="140" t="s">
        <v>720</v>
      </c>
      <c r="G108" s="140" t="s">
        <v>991</v>
      </c>
      <c r="H108" s="140" t="s">
        <v>991</v>
      </c>
      <c r="I108" s="140" t="s">
        <v>991</v>
      </c>
      <c r="J108" s="140">
        <v>1</v>
      </c>
      <c r="K108" s="140" t="s">
        <v>990</v>
      </c>
    </row>
    <row r="109" spans="1:11">
      <c r="A109" s="139" t="s">
        <v>987</v>
      </c>
      <c r="B109" s="139" t="s">
        <v>260</v>
      </c>
      <c r="C109" s="139" t="s">
        <v>992</v>
      </c>
      <c r="D109" s="139" t="s">
        <v>993</v>
      </c>
      <c r="E109" s="139" t="s">
        <v>994</v>
      </c>
      <c r="F109" s="139" t="s">
        <v>720</v>
      </c>
      <c r="G109" s="139" t="s">
        <v>995</v>
      </c>
      <c r="H109" s="139" t="s">
        <v>996</v>
      </c>
      <c r="I109" s="139" t="s">
        <v>997</v>
      </c>
      <c r="J109" s="139">
        <v>2</v>
      </c>
      <c r="K109" s="139" t="s">
        <v>998</v>
      </c>
    </row>
    <row r="110" spans="1:11">
      <c r="A110" s="140" t="s">
        <v>999</v>
      </c>
      <c r="B110" s="140" t="s">
        <v>260</v>
      </c>
      <c r="C110" s="140" t="s">
        <v>1000</v>
      </c>
      <c r="D110" s="140" t="s">
        <v>989</v>
      </c>
      <c r="E110" s="140" t="s">
        <v>990</v>
      </c>
      <c r="F110" s="140" t="s">
        <v>720</v>
      </c>
      <c r="G110" s="140" t="s">
        <v>1001</v>
      </c>
      <c r="H110" s="140" t="s">
        <v>1001</v>
      </c>
      <c r="I110" s="140" t="s">
        <v>1001</v>
      </c>
      <c r="J110" s="140">
        <v>1</v>
      </c>
      <c r="K110" s="140" t="s">
        <v>990</v>
      </c>
    </row>
    <row r="111" spans="1:11">
      <c r="A111" s="139" t="s">
        <v>999</v>
      </c>
      <c r="B111" s="139" t="s">
        <v>260</v>
      </c>
      <c r="C111" s="139" t="s">
        <v>1002</v>
      </c>
      <c r="D111" s="139" t="s">
        <v>993</v>
      </c>
      <c r="E111" s="139" t="s">
        <v>994</v>
      </c>
      <c r="F111" s="139" t="s">
        <v>720</v>
      </c>
      <c r="G111" s="139" t="s">
        <v>1003</v>
      </c>
      <c r="H111" s="139" t="s">
        <v>1004</v>
      </c>
      <c r="I111" s="139" t="s">
        <v>1005</v>
      </c>
      <c r="J111" s="139">
        <v>2</v>
      </c>
      <c r="K111" s="139" t="s">
        <v>998</v>
      </c>
    </row>
    <row r="112" spans="1:11">
      <c r="A112" s="140" t="s">
        <v>1006</v>
      </c>
      <c r="B112" s="140" t="s">
        <v>260</v>
      </c>
      <c r="C112" s="140" t="s">
        <v>1007</v>
      </c>
      <c r="D112" s="140" t="s">
        <v>989</v>
      </c>
      <c r="E112" s="140" t="s">
        <v>990</v>
      </c>
      <c r="F112" s="140" t="s">
        <v>720</v>
      </c>
      <c r="G112" s="140" t="s">
        <v>1008</v>
      </c>
      <c r="H112" s="140" t="s">
        <v>1008</v>
      </c>
      <c r="I112" s="140" t="s">
        <v>1008</v>
      </c>
      <c r="J112" s="140">
        <v>1</v>
      </c>
      <c r="K112" s="140" t="s">
        <v>990</v>
      </c>
    </row>
    <row r="113" spans="1:11">
      <c r="A113" s="139" t="s">
        <v>1006</v>
      </c>
      <c r="B113" s="139" t="s">
        <v>260</v>
      </c>
      <c r="C113" s="139" t="s">
        <v>1009</v>
      </c>
      <c r="D113" s="139" t="s">
        <v>993</v>
      </c>
      <c r="E113" s="139" t="s">
        <v>994</v>
      </c>
      <c r="F113" s="139" t="s">
        <v>720</v>
      </c>
      <c r="G113" s="139" t="s">
        <v>1010</v>
      </c>
      <c r="H113" s="139" t="s">
        <v>1011</v>
      </c>
      <c r="I113" s="139" t="s">
        <v>1012</v>
      </c>
      <c r="J113" s="139">
        <v>2</v>
      </c>
      <c r="K113" s="139" t="s">
        <v>998</v>
      </c>
    </row>
    <row r="114" spans="1:11">
      <c r="A114" s="139" t="s">
        <v>1013</v>
      </c>
      <c r="B114" s="139" t="s">
        <v>243</v>
      </c>
      <c r="C114" s="139" t="s">
        <v>1014</v>
      </c>
      <c r="D114" s="139" t="s">
        <v>993</v>
      </c>
      <c r="E114" s="139" t="s">
        <v>994</v>
      </c>
      <c r="F114" s="139" t="s">
        <v>720</v>
      </c>
      <c r="G114" s="139" t="s">
        <v>1015</v>
      </c>
      <c r="H114" s="139" t="s">
        <v>1016</v>
      </c>
      <c r="I114" s="139" t="s">
        <v>1017</v>
      </c>
      <c r="J114" s="139">
        <v>2</v>
      </c>
      <c r="K114" s="139" t="s">
        <v>998</v>
      </c>
    </row>
    <row r="115" spans="1:11">
      <c r="A115" t="s">
        <v>1018</v>
      </c>
      <c r="B115" t="s">
        <v>162</v>
      </c>
      <c r="C115" t="s">
        <v>1019</v>
      </c>
      <c r="D115" t="s">
        <v>749</v>
      </c>
      <c r="E115" t="s">
        <v>1020</v>
      </c>
      <c r="F115" t="s">
        <v>720</v>
      </c>
      <c r="G115" t="s">
        <v>1021</v>
      </c>
      <c r="H115" t="s">
        <v>1021</v>
      </c>
      <c r="I115" t="s">
        <v>1021</v>
      </c>
      <c r="J115">
        <v>1</v>
      </c>
      <c r="K115" t="s">
        <v>1020</v>
      </c>
    </row>
    <row r="116" spans="1:11">
      <c r="A116" t="s">
        <v>1018</v>
      </c>
      <c r="B116" t="s">
        <v>162</v>
      </c>
      <c r="C116" t="s">
        <v>1022</v>
      </c>
      <c r="D116" t="s">
        <v>1023</v>
      </c>
      <c r="E116" t="s">
        <v>1024</v>
      </c>
      <c r="F116" t="s">
        <v>720</v>
      </c>
      <c r="G116" t="s">
        <v>1025</v>
      </c>
      <c r="H116" t="s">
        <v>1025</v>
      </c>
      <c r="I116" t="s">
        <v>1025</v>
      </c>
      <c r="J116">
        <v>1</v>
      </c>
      <c r="K116" t="s">
        <v>1024</v>
      </c>
    </row>
    <row r="117" spans="1:11">
      <c r="A117" s="139" t="s">
        <v>1018</v>
      </c>
      <c r="B117" s="139" t="s">
        <v>162</v>
      </c>
      <c r="C117" s="139" t="s">
        <v>1026</v>
      </c>
      <c r="D117" s="139" t="s">
        <v>756</v>
      </c>
      <c r="E117" s="139" t="s">
        <v>1027</v>
      </c>
      <c r="F117" s="139" t="s">
        <v>720</v>
      </c>
      <c r="G117" s="139" t="s">
        <v>1028</v>
      </c>
      <c r="H117" s="139" t="s">
        <v>1028</v>
      </c>
      <c r="I117" s="139" t="s">
        <v>1028</v>
      </c>
      <c r="J117" s="139">
        <v>1</v>
      </c>
      <c r="K117" s="139" t="s">
        <v>1027</v>
      </c>
    </row>
    <row r="118" spans="1:11">
      <c r="A118" t="s">
        <v>1029</v>
      </c>
      <c r="B118" t="s">
        <v>162</v>
      </c>
      <c r="C118" t="s">
        <v>1030</v>
      </c>
      <c r="D118" t="s">
        <v>749</v>
      </c>
      <c r="E118" t="s">
        <v>1020</v>
      </c>
      <c r="F118" t="s">
        <v>720</v>
      </c>
      <c r="G118" t="s">
        <v>1031</v>
      </c>
      <c r="H118" t="s">
        <v>1031</v>
      </c>
      <c r="I118" t="s">
        <v>1031</v>
      </c>
      <c r="J118">
        <v>1</v>
      </c>
      <c r="K118" t="s">
        <v>1020</v>
      </c>
    </row>
    <row r="119" spans="1:11">
      <c r="A119" t="s">
        <v>1029</v>
      </c>
      <c r="B119" t="s">
        <v>162</v>
      </c>
      <c r="C119" t="s">
        <v>1032</v>
      </c>
      <c r="D119" t="s">
        <v>1023</v>
      </c>
      <c r="E119" t="s">
        <v>1024</v>
      </c>
      <c r="F119" t="s">
        <v>720</v>
      </c>
      <c r="G119" t="s">
        <v>1033</v>
      </c>
      <c r="H119" t="s">
        <v>1033</v>
      </c>
      <c r="I119" t="s">
        <v>1033</v>
      </c>
      <c r="J119">
        <v>1</v>
      </c>
      <c r="K119" t="s">
        <v>1024</v>
      </c>
    </row>
    <row r="120" spans="1:11">
      <c r="A120" s="139" t="s">
        <v>1029</v>
      </c>
      <c r="B120" s="139" t="s">
        <v>162</v>
      </c>
      <c r="C120" s="139" t="s">
        <v>1034</v>
      </c>
      <c r="D120" s="139" t="s">
        <v>756</v>
      </c>
      <c r="E120" s="139" t="s">
        <v>1027</v>
      </c>
      <c r="F120" s="139" t="s">
        <v>720</v>
      </c>
      <c r="G120" s="139" t="s">
        <v>1035</v>
      </c>
      <c r="H120" s="139" t="s">
        <v>1035</v>
      </c>
      <c r="I120" s="139" t="s">
        <v>1035</v>
      </c>
      <c r="J120" s="139">
        <v>1</v>
      </c>
      <c r="K120" s="139" t="s">
        <v>1027</v>
      </c>
    </row>
    <row r="121" spans="1:11">
      <c r="A121" t="s">
        <v>1036</v>
      </c>
      <c r="B121" t="s">
        <v>619</v>
      </c>
      <c r="C121" t="s">
        <v>1037</v>
      </c>
      <c r="D121" t="s">
        <v>749</v>
      </c>
      <c r="E121" t="s">
        <v>1020</v>
      </c>
      <c r="F121" t="s">
        <v>720</v>
      </c>
      <c r="G121" t="s">
        <v>1038</v>
      </c>
      <c r="H121" t="s">
        <v>1038</v>
      </c>
      <c r="I121" t="s">
        <v>1038</v>
      </c>
      <c r="J121">
        <v>1</v>
      </c>
      <c r="K121" t="s">
        <v>1020</v>
      </c>
    </row>
    <row r="122" spans="1:11">
      <c r="A122" s="139" t="s">
        <v>1036</v>
      </c>
      <c r="B122" s="139" t="s">
        <v>619</v>
      </c>
      <c r="C122" s="139" t="s">
        <v>1039</v>
      </c>
      <c r="D122" s="139" t="s">
        <v>756</v>
      </c>
      <c r="E122" s="139" t="s">
        <v>1040</v>
      </c>
      <c r="F122" s="139" t="s">
        <v>720</v>
      </c>
      <c r="G122" s="139" t="s">
        <v>1041</v>
      </c>
      <c r="H122" s="139" t="s">
        <v>1041</v>
      </c>
      <c r="I122" s="139" t="s">
        <v>1041</v>
      </c>
      <c r="J122" s="139">
        <v>1</v>
      </c>
      <c r="K122" s="139" t="s">
        <v>1040</v>
      </c>
    </row>
    <row r="123" spans="1:11">
      <c r="A123" t="s">
        <v>1042</v>
      </c>
      <c r="B123" t="s">
        <v>619</v>
      </c>
      <c r="C123" t="s">
        <v>1043</v>
      </c>
      <c r="D123" t="s">
        <v>749</v>
      </c>
      <c r="E123" t="s">
        <v>1020</v>
      </c>
      <c r="F123" t="s">
        <v>720</v>
      </c>
      <c r="G123" t="s">
        <v>1044</v>
      </c>
      <c r="H123" t="s">
        <v>1044</v>
      </c>
      <c r="I123" t="s">
        <v>1044</v>
      </c>
      <c r="J123">
        <v>1</v>
      </c>
      <c r="K123" t="s">
        <v>1020</v>
      </c>
    </row>
    <row r="124" spans="1:11">
      <c r="A124" s="139" t="s">
        <v>1042</v>
      </c>
      <c r="B124" s="139" t="s">
        <v>619</v>
      </c>
      <c r="C124" s="139" t="s">
        <v>1045</v>
      </c>
      <c r="D124" s="139" t="s">
        <v>756</v>
      </c>
      <c r="E124" s="139" t="s">
        <v>1040</v>
      </c>
      <c r="F124" s="139" t="s">
        <v>720</v>
      </c>
      <c r="G124" s="139" t="s">
        <v>1046</v>
      </c>
      <c r="H124" s="139" t="s">
        <v>1046</v>
      </c>
      <c r="I124" s="139" t="s">
        <v>1046</v>
      </c>
      <c r="J124" s="139">
        <v>1</v>
      </c>
      <c r="K124" s="139" t="s">
        <v>1040</v>
      </c>
    </row>
    <row r="125" spans="1:11">
      <c r="A125" s="141" t="s">
        <v>1047</v>
      </c>
      <c r="B125" s="141" t="s">
        <v>248</v>
      </c>
      <c r="C125" s="141" t="s">
        <v>1048</v>
      </c>
      <c r="D125" s="141" t="s">
        <v>989</v>
      </c>
      <c r="E125" s="141" t="s">
        <v>1049</v>
      </c>
      <c r="F125" s="141" t="s">
        <v>720</v>
      </c>
      <c r="G125" s="141" t="s">
        <v>1050</v>
      </c>
      <c r="H125" s="141" t="s">
        <v>1050</v>
      </c>
      <c r="I125" s="141" t="s">
        <v>1050</v>
      </c>
      <c r="J125" s="141">
        <v>1</v>
      </c>
      <c r="K125" s="141" t="s">
        <v>1051</v>
      </c>
    </row>
    <row r="126" spans="1:11">
      <c r="A126" s="141" t="s">
        <v>42</v>
      </c>
      <c r="B126" s="141" t="s">
        <v>270</v>
      </c>
      <c r="C126" s="141" t="s">
        <v>1052</v>
      </c>
      <c r="D126" s="141" t="s">
        <v>756</v>
      </c>
      <c r="E126" s="141" t="s">
        <v>763</v>
      </c>
      <c r="F126" s="141" t="s">
        <v>720</v>
      </c>
      <c r="G126" s="141" t="s">
        <v>1053</v>
      </c>
      <c r="H126" s="141" t="s">
        <v>1053</v>
      </c>
      <c r="I126" s="141" t="s">
        <v>1053</v>
      </c>
      <c r="J126" s="141">
        <v>1</v>
      </c>
      <c r="K126" s="141" t="s">
        <v>763</v>
      </c>
    </row>
    <row r="127" spans="1:11">
      <c r="A127" s="141" t="s">
        <v>47</v>
      </c>
      <c r="B127" s="141" t="s">
        <v>165</v>
      </c>
      <c r="C127" s="141" t="s">
        <v>1054</v>
      </c>
      <c r="D127" s="141" t="s">
        <v>989</v>
      </c>
      <c r="E127" s="141" t="s">
        <v>1049</v>
      </c>
      <c r="F127" s="141" t="s">
        <v>720</v>
      </c>
      <c r="G127" s="141" t="s">
        <v>1055</v>
      </c>
      <c r="H127" s="141" t="s">
        <v>1055</v>
      </c>
      <c r="I127" s="141" t="s">
        <v>1055</v>
      </c>
      <c r="J127" s="141">
        <v>1</v>
      </c>
      <c r="K127" s="141" t="s">
        <v>1051</v>
      </c>
    </row>
    <row r="128" spans="1:11">
      <c r="A128" s="141" t="s">
        <v>48</v>
      </c>
      <c r="B128" s="141" t="s">
        <v>165</v>
      </c>
      <c r="C128" s="141" t="s">
        <v>1056</v>
      </c>
      <c r="D128" s="141" t="s">
        <v>989</v>
      </c>
      <c r="E128" s="141" t="s">
        <v>1049</v>
      </c>
      <c r="F128" s="141" t="s">
        <v>720</v>
      </c>
      <c r="G128" s="141" t="s">
        <v>1057</v>
      </c>
      <c r="H128" s="141" t="s">
        <v>1057</v>
      </c>
      <c r="I128" s="141" t="s">
        <v>1057</v>
      </c>
      <c r="J128" s="141">
        <v>1</v>
      </c>
      <c r="K128" s="141" t="s">
        <v>1051</v>
      </c>
    </row>
    <row r="129" spans="1:11">
      <c r="A129" s="141" t="s">
        <v>49</v>
      </c>
      <c r="B129" s="141" t="s">
        <v>165</v>
      </c>
      <c r="C129" s="141" t="s">
        <v>1058</v>
      </c>
      <c r="D129" s="141" t="s">
        <v>989</v>
      </c>
      <c r="E129" s="141" t="s">
        <v>1049</v>
      </c>
      <c r="F129" s="141" t="s">
        <v>720</v>
      </c>
      <c r="G129" s="141" t="s">
        <v>1059</v>
      </c>
      <c r="H129" s="141" t="s">
        <v>1059</v>
      </c>
      <c r="I129" s="141" t="s">
        <v>1059</v>
      </c>
      <c r="J129" s="141">
        <v>1</v>
      </c>
      <c r="K129" s="141" t="s">
        <v>1051</v>
      </c>
    </row>
    <row r="130" spans="1:11">
      <c r="A130" s="141" t="s">
        <v>57</v>
      </c>
      <c r="B130" s="141" t="s">
        <v>155</v>
      </c>
      <c r="C130" s="141" t="s">
        <v>1060</v>
      </c>
      <c r="D130" s="141" t="s">
        <v>989</v>
      </c>
      <c r="E130" s="141" t="s">
        <v>1049</v>
      </c>
      <c r="F130" s="141" t="s">
        <v>720</v>
      </c>
      <c r="G130" s="141" t="s">
        <v>1061</v>
      </c>
      <c r="H130" s="141" t="s">
        <v>1061</v>
      </c>
      <c r="I130" s="141" t="s">
        <v>1061</v>
      </c>
      <c r="J130" s="141">
        <v>1</v>
      </c>
      <c r="K130" s="141" t="s">
        <v>1051</v>
      </c>
    </row>
    <row r="131" spans="1:11">
      <c r="A131" t="s">
        <v>63</v>
      </c>
      <c r="B131" t="s">
        <v>162</v>
      </c>
      <c r="C131" t="s">
        <v>1062</v>
      </c>
      <c r="D131" t="s">
        <v>749</v>
      </c>
      <c r="E131" t="s">
        <v>1020</v>
      </c>
      <c r="F131" t="s">
        <v>720</v>
      </c>
      <c r="G131" t="s">
        <v>1063</v>
      </c>
      <c r="H131" t="s">
        <v>1063</v>
      </c>
      <c r="I131" t="s">
        <v>1063</v>
      </c>
      <c r="J131">
        <v>1</v>
      </c>
      <c r="K131" t="s">
        <v>1020</v>
      </c>
    </row>
    <row r="132" spans="1:11">
      <c r="A132" t="s">
        <v>63</v>
      </c>
      <c r="B132" t="s">
        <v>162</v>
      </c>
      <c r="C132" t="s">
        <v>1064</v>
      </c>
      <c r="D132" t="s">
        <v>1023</v>
      </c>
      <c r="E132" t="s">
        <v>1024</v>
      </c>
      <c r="F132" t="s">
        <v>720</v>
      </c>
      <c r="G132" t="s">
        <v>1065</v>
      </c>
      <c r="H132" t="s">
        <v>1065</v>
      </c>
      <c r="I132" t="s">
        <v>1065</v>
      </c>
      <c r="J132">
        <v>1</v>
      </c>
      <c r="K132" t="s">
        <v>1024</v>
      </c>
    </row>
    <row r="133" spans="1:11">
      <c r="A133" s="139" t="s">
        <v>63</v>
      </c>
      <c r="B133" s="139" t="s">
        <v>162</v>
      </c>
      <c r="C133" s="139" t="s">
        <v>1066</v>
      </c>
      <c r="D133" s="139" t="s">
        <v>756</v>
      </c>
      <c r="E133" s="139" t="s">
        <v>1027</v>
      </c>
      <c r="F133" s="139" t="s">
        <v>720</v>
      </c>
      <c r="G133" s="139" t="s">
        <v>1067</v>
      </c>
      <c r="H133" s="139" t="s">
        <v>1067</v>
      </c>
      <c r="I133" s="139" t="s">
        <v>1067</v>
      </c>
      <c r="J133" s="139">
        <v>1</v>
      </c>
      <c r="K133" s="139" t="s">
        <v>1027</v>
      </c>
    </row>
    <row r="134" spans="1:11">
      <c r="A134" t="s">
        <v>64</v>
      </c>
      <c r="B134" t="s">
        <v>162</v>
      </c>
      <c r="C134" t="s">
        <v>1068</v>
      </c>
      <c r="D134" t="s">
        <v>749</v>
      </c>
      <c r="E134" t="s">
        <v>1020</v>
      </c>
      <c r="F134" t="s">
        <v>720</v>
      </c>
      <c r="G134" t="s">
        <v>1069</v>
      </c>
      <c r="H134" t="s">
        <v>1069</v>
      </c>
      <c r="I134" t="s">
        <v>1069</v>
      </c>
      <c r="J134">
        <v>1</v>
      </c>
      <c r="K134" t="s">
        <v>1020</v>
      </c>
    </row>
    <row r="135" spans="1:11">
      <c r="A135" t="s">
        <v>64</v>
      </c>
      <c r="B135" t="s">
        <v>162</v>
      </c>
      <c r="C135" t="s">
        <v>1070</v>
      </c>
      <c r="D135" t="s">
        <v>1023</v>
      </c>
      <c r="E135" t="s">
        <v>1024</v>
      </c>
      <c r="F135" t="s">
        <v>720</v>
      </c>
      <c r="G135" t="s">
        <v>1071</v>
      </c>
      <c r="H135" t="s">
        <v>1071</v>
      </c>
      <c r="I135" t="s">
        <v>1071</v>
      </c>
      <c r="J135">
        <v>1</v>
      </c>
      <c r="K135" t="s">
        <v>1024</v>
      </c>
    </row>
    <row r="136" spans="1:11">
      <c r="A136" s="139" t="s">
        <v>64</v>
      </c>
      <c r="B136" s="139" t="s">
        <v>162</v>
      </c>
      <c r="C136" s="139" t="s">
        <v>1072</v>
      </c>
      <c r="D136" s="139" t="s">
        <v>756</v>
      </c>
      <c r="E136" s="139" t="s">
        <v>1027</v>
      </c>
      <c r="F136" s="139" t="s">
        <v>720</v>
      </c>
      <c r="G136" s="139" t="s">
        <v>1073</v>
      </c>
      <c r="H136" s="139" t="s">
        <v>1073</v>
      </c>
      <c r="I136" s="139" t="s">
        <v>1073</v>
      </c>
      <c r="J136" s="139">
        <v>1</v>
      </c>
      <c r="K136" s="139" t="s">
        <v>1027</v>
      </c>
    </row>
    <row r="137" spans="1:11">
      <c r="A137" t="s">
        <v>65</v>
      </c>
      <c r="B137" t="s">
        <v>162</v>
      </c>
      <c r="C137" t="s">
        <v>1074</v>
      </c>
      <c r="D137" t="s">
        <v>749</v>
      </c>
      <c r="E137" t="s">
        <v>1020</v>
      </c>
      <c r="F137" t="s">
        <v>720</v>
      </c>
      <c r="G137" t="s">
        <v>1075</v>
      </c>
      <c r="H137" t="s">
        <v>1075</v>
      </c>
      <c r="I137" t="s">
        <v>1075</v>
      </c>
      <c r="J137">
        <v>1</v>
      </c>
      <c r="K137" t="s">
        <v>1020</v>
      </c>
    </row>
    <row r="138" spans="1:11">
      <c r="A138" t="s">
        <v>65</v>
      </c>
      <c r="B138" t="s">
        <v>162</v>
      </c>
      <c r="C138" t="s">
        <v>1076</v>
      </c>
      <c r="D138" t="s">
        <v>1023</v>
      </c>
      <c r="E138" t="s">
        <v>1024</v>
      </c>
      <c r="F138" t="s">
        <v>720</v>
      </c>
      <c r="G138" t="s">
        <v>1077</v>
      </c>
      <c r="H138" t="s">
        <v>1077</v>
      </c>
      <c r="I138" t="s">
        <v>1077</v>
      </c>
      <c r="J138">
        <v>1</v>
      </c>
      <c r="K138" t="s">
        <v>1024</v>
      </c>
    </row>
    <row r="139" spans="1:11">
      <c r="A139" s="139" t="s">
        <v>65</v>
      </c>
      <c r="B139" s="139" t="s">
        <v>162</v>
      </c>
      <c r="C139" s="139" t="s">
        <v>1078</v>
      </c>
      <c r="D139" s="139" t="s">
        <v>756</v>
      </c>
      <c r="E139" s="139" t="s">
        <v>1027</v>
      </c>
      <c r="F139" s="139" t="s">
        <v>720</v>
      </c>
      <c r="G139" s="139" t="s">
        <v>1079</v>
      </c>
      <c r="H139" s="139" t="s">
        <v>1079</v>
      </c>
      <c r="I139" s="139" t="s">
        <v>1079</v>
      </c>
      <c r="J139" s="139">
        <v>1</v>
      </c>
      <c r="K139" s="139" t="s">
        <v>1027</v>
      </c>
    </row>
    <row r="140" spans="1:11">
      <c r="A140" s="141" t="s">
        <v>66</v>
      </c>
      <c r="B140" s="141" t="s">
        <v>163</v>
      </c>
      <c r="C140" s="141" t="s">
        <v>1080</v>
      </c>
      <c r="D140" s="141" t="s">
        <v>756</v>
      </c>
      <c r="E140" s="141" t="s">
        <v>1027</v>
      </c>
      <c r="F140" s="141" t="s">
        <v>720</v>
      </c>
      <c r="G140" s="141" t="s">
        <v>1081</v>
      </c>
      <c r="H140" s="141" t="s">
        <v>1081</v>
      </c>
      <c r="I140" s="141" t="s">
        <v>1081</v>
      </c>
      <c r="J140" s="141">
        <v>1</v>
      </c>
      <c r="K140" s="141" t="s">
        <v>1027</v>
      </c>
    </row>
    <row r="141" spans="1:11">
      <c r="A141" t="s">
        <v>272</v>
      </c>
      <c r="B141" t="s">
        <v>273</v>
      </c>
      <c r="C141" t="s">
        <v>1082</v>
      </c>
      <c r="D141" t="s">
        <v>1023</v>
      </c>
      <c r="E141" t="s">
        <v>1083</v>
      </c>
      <c r="F141" t="s">
        <v>720</v>
      </c>
      <c r="G141" t="s">
        <v>1084</v>
      </c>
      <c r="H141" t="s">
        <v>1084</v>
      </c>
      <c r="I141" t="s">
        <v>1084</v>
      </c>
      <c r="J141">
        <v>1</v>
      </c>
      <c r="K141" t="s">
        <v>1083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5355058F39B24C924B5E167A51CAA1" ma:contentTypeVersion="6" ma:contentTypeDescription="Ein neues Dokument erstellen." ma:contentTypeScope="" ma:versionID="db3231d82393e2c0c866e064b0f84557">
  <xsd:schema xmlns:xsd="http://www.w3.org/2001/XMLSchema" xmlns:xs="http://www.w3.org/2001/XMLSchema" xmlns:p="http://schemas.microsoft.com/office/2006/metadata/properties" xmlns:ns3="9b6d8fdb-a1d4-4c8f-b334-417a28097f63" targetNamespace="http://schemas.microsoft.com/office/2006/metadata/properties" ma:root="true" ma:fieldsID="441ca6e22ab5d1a265b53bdd9b8c1ab4" ns3:_="">
    <xsd:import namespace="9b6d8fdb-a1d4-4c8f-b334-417a28097f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d8fdb-a1d4-4c8f-b334-417a28097f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6d8fdb-a1d4-4c8f-b334-417a28097f6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813415-20D7-4A90-B115-967E3A10EF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d8fdb-a1d4-4c8f-b334-417a28097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D1482-41BE-492E-9AED-FB84B572668F}">
  <ds:schemaRefs>
    <ds:schemaRef ds:uri="http://purl.org/dc/terms/"/>
    <ds:schemaRef ds:uri="9b6d8fdb-a1d4-4c8f-b334-417a28097f63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5A696BD-E5D5-4D36-A749-1AE6AA5AB6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all phages</vt:lpstr>
      <vt:lpstr>AntiDefenseFinder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Harms</dc:creator>
  <cp:lastModifiedBy>Harms  Alexander</cp:lastModifiedBy>
  <dcterms:created xsi:type="dcterms:W3CDTF">2015-06-05T18:17:20Z</dcterms:created>
  <dcterms:modified xsi:type="dcterms:W3CDTF">2025-02-18T16:21:11Z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0x010100805355058F39B24C924B5E167A51CAA1</vt:lpwstr>
  </property>
</Properties>
</file>